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ta Provenanc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Monthly Revenue Ramp" sheetId="3" state="visible" r:id="rId3"/>
    <sheet xmlns:r="http://schemas.openxmlformats.org/officeDocument/2006/relationships" name="Unit Economics" sheetId="4" state="visible" r:id="rId4"/>
    <sheet xmlns:r="http://schemas.openxmlformats.org/officeDocument/2006/relationships" name="Brand Catalog (24)" sheetId="5" state="visible" r:id="rId5"/>
    <sheet xmlns:r="http://schemas.openxmlformats.org/officeDocument/2006/relationships" name="Revenue by Cluster" sheetId="6" state="visible" r:id="rId6"/>
    <sheet xmlns:r="http://schemas.openxmlformats.org/officeDocument/2006/relationships" name="Top Brand Performance" sheetId="7" state="visible" r:id="rId7"/>
    <sheet xmlns:r="http://schemas.openxmlformats.org/officeDocument/2006/relationships" name="Platform Strategy" sheetId="8" state="visible" r:id="rId8"/>
    <sheet xmlns:r="http://schemas.openxmlformats.org/officeDocument/2006/relationships" name="IP &amp; Technology" sheetId="9" state="visible" r:id="rId9"/>
    <sheet xmlns:r="http://schemas.openxmlformats.org/officeDocument/2006/relationships" name="Market Sizing" sheetId="10" state="visible" r:id="rId10"/>
    <sheet xmlns:r="http://schemas.openxmlformats.org/officeDocument/2006/relationships" name="3-Year P&amp;L" sheetId="11" state="visible" r:id="rId11"/>
  </sheets>
  <definedNames>
    <definedName name="_xlnm._FilterDatabase" localSheetId="4" hidden="1">'Brand Catalog (24)'!$B$4:$L$30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;&quot;($&quot;#,##0\);\-"/>
    <numFmt numFmtId="165" formatCode="0.0%"/>
  </numFmts>
  <fonts count="3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E2761"/>
      <sz val="16"/>
    </font>
    <font>
      <name val="Arial"/>
      <charset val="1"/>
      <family val="0"/>
      <color rgb="FF64748B"/>
      <sz val="10"/>
    </font>
    <font>
      <name val="Arial"/>
      <charset val="1"/>
      <family val="0"/>
      <b val="1"/>
      <color rgb="FF1E276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E2761"/>
      <sz val="14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1E2761"/>
      <sz val="12"/>
    </font>
    <font>
      <name val="Arial"/>
      <charset val="1"/>
      <family val="0"/>
      <i val="1"/>
      <color rgb="FF64748B"/>
      <sz val="9"/>
    </font>
    <font>
      <name val="Arial"/>
      <charset val="1"/>
      <family val="0"/>
      <b val="1"/>
      <color rgb="FF008000"/>
      <sz val="10"/>
    </font>
    <font>
      <name val="Arial"/>
      <charset val="1"/>
      <family val="0"/>
      <b val="1"/>
      <color rgb="FFD97706"/>
      <sz val="10"/>
    </font>
    <font>
      <name val="Arial"/>
      <charset val="1"/>
      <family val="0"/>
      <b val="1"/>
      <color rgb="FF008000"/>
      <sz val="11"/>
    </font>
    <font>
      <name val="Arial"/>
      <b val="1"/>
      <sz val="11"/>
    </font>
    <font>
      <name val="Arial"/>
      <color rgb="00006600"/>
      <sz val="9"/>
    </font>
    <font>
      <name val="Arial"/>
      <color rgb="00CC6600"/>
      <sz val="9"/>
    </font>
    <font>
      <name val="Arial"/>
      <color rgb="00CC0000"/>
      <sz val="9"/>
    </font>
    <font>
      <name val="Arial"/>
      <color rgb="00000099"/>
      <sz val="9"/>
    </font>
    <font>
      <name val="Arial"/>
      <b val="1"/>
      <sz val="14"/>
    </font>
    <font>
      <name val="Arial"/>
      <b val="1"/>
      <sz val="10"/>
    </font>
    <font>
      <name val="Arial"/>
      <b val="1"/>
      <color rgb="00CC0000"/>
      <sz val="11"/>
    </font>
    <font>
      <name val="Arial"/>
      <b val="1"/>
      <color rgb="00CC0000"/>
      <sz val="10"/>
    </font>
    <font>
      <name val="Arial"/>
      <color rgb="00999999"/>
      <sz val="9"/>
    </font>
    <font>
      <i val="1"/>
      <color rgb="00CC0000"/>
      <sz val="9"/>
    </font>
    <font>
      <i val="1"/>
      <color rgb="00666666"/>
      <sz val="9"/>
    </font>
    <font>
      <b val="1"/>
      <color rgb="001E2761"/>
      <sz val="14"/>
    </font>
  </fonts>
  <fills count="7">
    <fill>
      <patternFill/>
    </fill>
    <fill>
      <patternFill patternType="gray125"/>
    </fill>
    <fill>
      <patternFill patternType="solid">
        <fgColor rgb="FFE8EAF6"/>
        <bgColor rgb="FFFFFFFF"/>
      </patternFill>
    </fill>
    <fill>
      <patternFill patternType="solid">
        <fgColor rgb="FF1E2761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00FFFF00"/>
      </patternFill>
    </fill>
    <fill>
      <patternFill patternType="solid">
        <fgColor rgb="00FFFFF0"/>
        <bgColor rgb="00FFFFF0"/>
      </patternFill>
    </fill>
  </fills>
  <borders count="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bottom" wrapText="1"/>
    </xf>
    <xf numFmtId="0" fontId="9" fillId="3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0" fontId="9" fillId="3" borderId="0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bottom" wrapText="1"/>
    </xf>
    <xf numFmtId="0" fontId="7" fillId="4" borderId="1" applyAlignment="1" pivotButton="0" quotePrefix="0" xfId="0">
      <alignment horizontal="general" vertical="bottom"/>
    </xf>
    <xf numFmtId="164" fontId="13" fillId="4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15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3" fontId="7" fillId="4" borderId="1" applyAlignment="1" pivotButton="0" quotePrefix="0" xfId="0">
      <alignment horizontal="general" vertical="bottom"/>
    </xf>
    <xf numFmtId="165" fontId="11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center" vertical="bottom"/>
    </xf>
    <xf numFmtId="0" fontId="17" fillId="0" borderId="1" applyAlignment="1" pivotButton="0" quotePrefix="0" xfId="0">
      <alignment horizontal="center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164" fontId="16" fillId="4" borderId="1" applyAlignment="1" pivotButton="0" quotePrefix="0" xfId="0">
      <alignment horizontal="general" vertical="bottom"/>
    </xf>
    <xf numFmtId="0" fontId="14" fillId="4" borderId="1" applyAlignment="1" pivotButton="0" quotePrefix="0" xfId="0">
      <alignment horizontal="general" vertical="bottom"/>
    </xf>
    <xf numFmtId="164" fontId="6" fillId="4" borderId="1" applyAlignment="1" pivotButton="0" quotePrefix="0" xfId="0">
      <alignment horizontal="general" vertical="bottom"/>
    </xf>
    <xf numFmtId="0" fontId="0" fillId="0" borderId="0" pivotButton="0" quotePrefix="0" xfId="0"/>
    <xf numFmtId="0" fontId="24" fillId="0" borderId="0" pivotButton="0" quotePrefix="0" xfId="0"/>
    <xf numFmtId="0" fontId="25" fillId="5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21" fillId="5" borderId="0" pivotButton="0" quotePrefix="0" xfId="0"/>
    <xf numFmtId="0" fontId="9" fillId="3" borderId="1" applyAlignment="1" pivotButton="0" quotePrefix="0" xfId="0">
      <alignment horizontal="center" vertical="bottom" wrapText="1"/>
    </xf>
    <xf numFmtId="0" fontId="9" fillId="3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0" fontId="9" fillId="3" borderId="0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general" vertical="bottom"/>
    </xf>
    <xf numFmtId="0" fontId="22" fillId="5" borderId="0" pivotButton="0" quotePrefix="0" xfId="0"/>
    <xf numFmtId="0" fontId="10" fillId="4" borderId="1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bottom" wrapText="1"/>
    </xf>
    <xf numFmtId="0" fontId="7" fillId="4" borderId="1" applyAlignment="1" pivotButton="0" quotePrefix="0" xfId="0">
      <alignment horizontal="general" vertical="bottom"/>
    </xf>
    <xf numFmtId="164" fontId="13" fillId="4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15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3" fontId="7" fillId="4" borderId="1" applyAlignment="1" pivotButton="0" quotePrefix="0" xfId="0">
      <alignment horizontal="general" vertical="bottom"/>
    </xf>
    <xf numFmtId="165" fontId="11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center" vertical="bottom"/>
    </xf>
    <xf numFmtId="0" fontId="17" fillId="0" borderId="1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0" fontId="0" fillId="2" borderId="0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164" fontId="16" fillId="4" borderId="1" applyAlignment="1" pivotButton="0" quotePrefix="0" xfId="0">
      <alignment horizontal="general" vertical="bottom"/>
    </xf>
    <xf numFmtId="0" fontId="14" fillId="4" borderId="1" applyAlignment="1" pivotButton="0" quotePrefix="0" xfId="0">
      <alignment horizontal="general" vertical="bottom"/>
    </xf>
    <xf numFmtId="164" fontId="6" fillId="4" borderId="1" applyAlignment="1" pivotButton="0" quotePrefix="0" xfId="0">
      <alignment horizontal="general" vertical="bottom"/>
    </xf>
    <xf numFmtId="0" fontId="31" fillId="0" borderId="0" pivotButton="0" quotePrefix="0" xfId="0"/>
    <xf numFmtId="0" fontId="30" fillId="0" borderId="0" pivotButton="0" quotePrefix="0" xfId="0"/>
    <xf numFmtId="0" fontId="29" fillId="6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AF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64748B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FF6600"/>
    <outlinePr summaryBelow="1" summaryRight="1"/>
    <pageSetUpPr/>
  </sheetPr>
  <dimension ref="B2:D36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style="40" min="2" max="2"/>
    <col width="70" customWidth="1" style="40" min="3" max="3"/>
    <col width="20" customWidth="1" style="40" min="4" max="4"/>
  </cols>
  <sheetData>
    <row r="2">
      <c r="B2" s="95" t="inlineStr">
        <is>
          <t>PHOENIX OMEGA INVESTOR DD — DATA PROVENANCE GUIDE</t>
        </is>
      </c>
    </row>
    <row r="4">
      <c r="B4" s="52" t="inlineStr">
        <is>
          <t>This workbook contains a mix of repo-backed facts, estimates, assumptions, and external data.</t>
        </is>
      </c>
    </row>
    <row r="5">
      <c r="B5" s="52" t="inlineStr">
        <is>
          <t>Every significant claim is now labeled in a DATA SOURCE column on each sheet.</t>
        </is>
      </c>
    </row>
    <row r="6">
      <c r="B6" s="42" t="inlineStr">
        <is>
          <t>Yellow-highlighted cells require investor attention — they are not repo-verified.</t>
        </is>
      </c>
    </row>
    <row r="8">
      <c r="B8" s="43" t="inlineStr">
        <is>
          <t>LABEL</t>
        </is>
      </c>
      <c r="C8" s="43" t="inlineStr">
        <is>
          <t>MEANING</t>
        </is>
      </c>
      <c r="D8" s="43" t="inlineStr">
        <is>
          <t>COLOR</t>
        </is>
      </c>
    </row>
    <row r="9">
      <c r="B9" s="44" t="inlineStr">
        <is>
          <t>REPO-BACKED</t>
        </is>
      </c>
      <c r="C9" s="52" t="inlineStr">
        <is>
          <t>Verifiable from repo code, config, specs, or docs</t>
        </is>
      </c>
      <c r="D9" s="52" t="inlineStr">
        <is>
          <t>Green text</t>
        </is>
      </c>
    </row>
    <row r="10">
      <c r="B10" s="45" t="inlineStr">
        <is>
          <t>ESTIMATE</t>
        </is>
      </c>
      <c r="C10" s="52" t="inlineStr">
        <is>
          <t>Derived from planning model — reasonable but unverified by sales</t>
        </is>
      </c>
      <c r="D10" s="52" t="inlineStr">
        <is>
          <t>Orange text + yellow bg</t>
        </is>
      </c>
    </row>
    <row r="11">
      <c r="B11" s="46" t="inlineStr">
        <is>
          <t>ASSUMPTION</t>
        </is>
      </c>
      <c r="C11" s="52" t="inlineStr">
        <is>
          <t>Pre-revenue projection with no sales data. Scenario modeling only.</t>
        </is>
      </c>
      <c r="D11" s="52" t="inlineStr">
        <is>
          <t>Red text + yellow bg</t>
        </is>
      </c>
    </row>
    <row r="12">
      <c r="B12" s="47" t="inlineStr">
        <is>
          <t>EXTERNAL</t>
        </is>
      </c>
      <c r="C12" s="52" t="inlineStr">
        <is>
          <t>Sourced from third-party research or platform terms</t>
        </is>
      </c>
      <c r="D12" s="52" t="inlineStr">
        <is>
          <t>Blue text</t>
        </is>
      </c>
    </row>
    <row r="14">
      <c r="B14" s="43" t="inlineStr">
        <is>
          <t>SHEET-BY-SHEET SUMMARY</t>
        </is>
      </c>
    </row>
    <row r="16">
      <c r="B16" s="48" t="inlineStr">
        <is>
          <t>Executive Summary</t>
        </is>
      </c>
      <c r="C16" s="52" t="inlineStr">
        <is>
          <t>MIXED: system facts repo-backed; catalog size and revenue are estimates/assumptions</t>
        </is>
      </c>
    </row>
    <row r="17">
      <c r="B17" s="48" t="inlineStr">
        <is>
          <t>Monthly Revenue Ramp</t>
        </is>
      </c>
      <c r="C17" s="52" t="inlineStr">
        <is>
          <t>ALL ASSUMPTION: pre-revenue projections</t>
        </is>
      </c>
    </row>
    <row r="18">
      <c r="B18" s="48" t="inlineStr">
        <is>
          <t>Unit Economics</t>
        </is>
      </c>
      <c r="C18" s="52" t="inlineStr">
        <is>
          <t>MIXED: pricing repo-backed; conversion rates are assumptions</t>
        </is>
      </c>
    </row>
    <row r="19">
      <c r="B19" s="48" t="inlineStr">
        <is>
          <t>Brand Catalog (24)</t>
        </is>
      </c>
      <c r="C19" s="52" t="inlineStr">
        <is>
          <t>MOSTLY REPO-BACKED: brand data from registry; 90 books/brand is estimate</t>
        </is>
      </c>
    </row>
    <row r="20">
      <c r="B20" s="48" t="inlineStr">
        <is>
          <t>Revenue by Cluster</t>
        </is>
      </c>
      <c r="C20" s="52" t="inlineStr">
        <is>
          <t>MIXED: brand counts repo-backed; revenue is assumption</t>
        </is>
      </c>
    </row>
    <row r="21">
      <c r="B21" s="48" t="inlineStr">
        <is>
          <t>Top Brand Performance</t>
        </is>
      </c>
      <c r="C21" s="52" t="inlineStr">
        <is>
          <t>ALL ASSUMPTION: pre-revenue projections</t>
        </is>
      </c>
    </row>
    <row r="22">
      <c r="B22" s="48" t="inlineStr">
        <is>
          <t>Platform Strategy</t>
        </is>
      </c>
      <c r="C22" s="52" t="inlineStr">
        <is>
          <t>MIXED: rev shares external; % splits are assumptions</t>
        </is>
      </c>
    </row>
    <row r="23">
      <c r="B23" s="48" t="inlineStr">
        <is>
          <t>IP &amp; Technology</t>
        </is>
      </c>
      <c r="C23" s="52" t="inlineStr">
        <is>
          <t>ALL REPO-BACKED: system architecture</t>
        </is>
      </c>
    </row>
    <row r="24">
      <c r="B24" s="48" t="inlineStr">
        <is>
          <t>Market Sizing</t>
        </is>
      </c>
      <c r="C24" s="52" t="inlineStr">
        <is>
          <t>MIXED: TAM from external research; SOM targets are assumptions</t>
        </is>
      </c>
    </row>
    <row r="25">
      <c r="B25" s="48" t="inlineStr">
        <is>
          <t>3-Year P&amp;L</t>
        </is>
      </c>
      <c r="C25" s="52" t="inlineStr">
        <is>
          <t>MOSTLY ASSUMPTION: revenue projections; $0 COGS repo-backed</t>
        </is>
      </c>
    </row>
    <row r="28">
      <c r="B28" s="49" t="inlineStr">
        <is>
          <t>KEY WARNINGS FOR INVESTORS</t>
        </is>
      </c>
    </row>
    <row r="29">
      <c r="B29" s="50" t="inlineStr">
        <is>
          <t>1. This is PRE-REVENUE. All revenue figures are scenario projections, not actuals.</t>
        </is>
      </c>
    </row>
    <row r="30">
      <c r="B30" s="52" t="inlineStr">
        <is>
          <t>2. "2,160+ books" is a TARGET (24 brands × 90). Production has not reached this count.</t>
        </is>
      </c>
    </row>
    <row r="31">
      <c r="B31" s="52" t="inlineStr">
        <is>
          <t>3. Conversion rates, impressions, and splits are modeled — no sales history exists.</t>
        </is>
      </c>
    </row>
    <row r="32">
      <c r="B32" s="52" t="inlineStr">
        <is>
          <t>4. Market sizing uses cited third-party research. SOM targets are organic-only assumptions.</t>
        </is>
      </c>
    </row>
    <row r="33">
      <c r="B33" s="52" t="inlineStr">
        <is>
          <t>5. $0 COGS is accurate — auto-narration and deterministic assembly are repo-verified.</t>
        </is>
      </c>
    </row>
    <row r="35">
      <c r="B35" s="51" t="inlineStr">
        <is>
          <t>Last updated: March 2026 | Part of the Phoenix Omega canonical presentation set.</t>
        </is>
      </c>
    </row>
    <row r="36">
      <c r="B36" s="96" t="inlineStr">
        <is>
          <t>Enhancement pass: hierarchy, labeling, and readability improvements applied.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H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52" min="1" max="1"/>
    <col width="35" customWidth="1" style="52" min="2" max="2"/>
    <col width="18" customWidth="1" style="52" min="3" max="7"/>
    <col width="42" customWidth="1" style="52" min="8" max="8"/>
  </cols>
  <sheetData>
    <row r="2" ht="19.7" customHeight="1" s="40">
      <c r="B2" s="53" t="inlineStr">
        <is>
          <t>PHOENIX OMEGA — INVESTOR DUE DILIGENCE</t>
        </is>
      </c>
    </row>
    <row r="3" ht="15" customHeight="1" s="40">
      <c r="B3" s="54" t="inlineStr">
        <is>
          <t>Confidential • SpiritualTech Systems • Prepared March 2026</t>
        </is>
      </c>
    </row>
    <row r="5" ht="15" customHeight="1" s="40">
      <c r="B5" s="55" t="inlineStr">
        <is>
          <t>COMPANY OVERVIEW</t>
        </is>
      </c>
      <c r="H5" s="43" t="inlineStr">
        <is>
          <t>DATA SOURCE</t>
        </is>
      </c>
    </row>
    <row r="6" ht="15" customHeight="1" s="40">
      <c r="B6" s="56" t="inlineStr">
        <is>
          <t>Entity</t>
        </is>
      </c>
      <c r="C6" s="57" t="inlineStr">
        <is>
          <t>SpiritualTech Systems</t>
        </is>
      </c>
      <c r="H6" s="44" t="inlineStr">
        <is>
          <t>REPO-BACKED: config/</t>
        </is>
      </c>
    </row>
    <row r="7" ht="15" customHeight="1" s="40">
      <c r="B7" s="56" t="inlineStr">
        <is>
          <t>Product</t>
        </is>
      </c>
      <c r="C7" s="57" t="inlineStr">
        <is>
          <t>Phoenix Omega — AI-orchestrated therapeutic audiobook platform</t>
        </is>
      </c>
      <c r="H7" s="44" t="inlineStr">
        <is>
          <t>REPO-BACKED: pipeline docs</t>
        </is>
      </c>
    </row>
    <row r="8" ht="15" customHeight="1" s="40">
      <c r="B8" s="56" t="inlineStr">
        <is>
          <t>Mission</t>
        </is>
      </c>
      <c r="C8" s="57" t="inlineStr">
        <is>
          <t>Deliver ancient wisdom to Gen Z/Alpha via audiobooks using Enlightened Intelligence</t>
        </is>
      </c>
      <c r="H8" s="44" t="inlineStr">
        <is>
          <t>REPO-BACKED: docs/</t>
        </is>
      </c>
    </row>
    <row r="9" ht="15" customHeight="1" s="40">
      <c r="B9" s="56" t="inlineStr">
        <is>
          <t>Technology</t>
        </is>
      </c>
      <c r="C9" s="57" t="inlineStr">
        <is>
          <t>EI (Enlightened Intelligence) — spiritual + mental + somatic heuristics → genetic algorithms + ML</t>
        </is>
      </c>
      <c r="H9" s="44" t="inlineStr">
        <is>
          <t>REPO-BACKED: phoenix_v4/quality/ei_v2/</t>
        </is>
      </c>
    </row>
    <row r="10" ht="15" customHeight="1" s="40">
      <c r="B10" s="56" t="inlineStr">
        <is>
          <t>Content Source</t>
        </is>
      </c>
      <c r="C10" s="57" t="inlineStr">
        <is>
          <t>13 teachers from United Spiritual Leaders Forum (USLF)</t>
        </is>
      </c>
      <c r="H10" s="44" t="inlineStr">
        <is>
          <t>REPO-BACKED: config/authoring/</t>
        </is>
      </c>
    </row>
    <row r="11" ht="15" customHeight="1" s="40">
      <c r="B11" s="56" t="inlineStr">
        <is>
          <t>Revenue Model</t>
        </is>
      </c>
      <c r="C11" s="57" t="inlineStr">
        <is>
          <t>Direct audiobook sales (Google Play, INaudio/Findaway) — 100% organic, $0 paid ads</t>
        </is>
      </c>
      <c r="H11" s="44" t="inlineStr">
        <is>
          <t>REPO-BACKED: revenue model design</t>
        </is>
      </c>
    </row>
    <row r="12" ht="15" customHeight="1" s="40">
      <c r="B12" s="56" t="inlineStr">
        <is>
          <t>Stage</t>
        </is>
      </c>
      <c r="C12" s="57" t="inlineStr">
        <is>
          <t>Pre-revenue / Production ready — 2,160+ book catalog in assembly pipeline</t>
        </is>
      </c>
      <c r="H12" s="58" t="inlineStr">
        <is>
          <t>ESTIMATE: 24×90 target, not yet produced</t>
        </is>
      </c>
    </row>
    <row r="13" ht="15" customHeight="1" s="40">
      <c r="B13" s="56" t="inlineStr">
        <is>
          <t>Fixed Costs</t>
        </is>
      </c>
      <c r="C13" s="57" t="inlineStr">
        <is>
          <t>$0 — Auto-narration pipeline, no studio, no voice actors, no paid promotion</t>
        </is>
      </c>
      <c r="H13" s="44" t="inlineStr">
        <is>
          <t>REPO-BACKED: auto-narration pipeline</t>
        </is>
      </c>
    </row>
    <row r="15" ht="15" customHeight="1" s="40">
      <c r="B15" s="55" t="inlineStr">
        <is>
          <t>KEY METRICS AT A GLANCE</t>
        </is>
      </c>
    </row>
    <row r="16" ht="15" customHeight="1" s="40">
      <c r="A16" s="59" t="n"/>
      <c r="B16" s="60" t="inlineStr">
        <is>
          <t>Metric</t>
        </is>
      </c>
      <c r="C16" s="60" t="inlineStr">
        <is>
          <t>Value</t>
        </is>
      </c>
      <c r="D16" s="60" t="inlineStr">
        <is>
          <t>Detail</t>
        </is>
      </c>
      <c r="H16" s="43" t="inlineStr">
        <is>
          <t>DATA SOURCE</t>
        </is>
      </c>
    </row>
    <row r="17" ht="15" customHeight="1" s="40">
      <c r="B17" s="61" t="inlineStr">
        <is>
          <t>Total Unique Books</t>
        </is>
      </c>
      <c r="C17" s="62" t="inlineStr">
        <is>
          <t>2,160+</t>
        </is>
      </c>
      <c r="D17" s="61" t="inlineStr">
        <is>
          <t>24 brands × 90 books/brand avg</t>
        </is>
      </c>
      <c r="H17" s="58" t="inlineStr">
        <is>
          <t>ESTIMATE: 24×90 target, not produced</t>
        </is>
      </c>
    </row>
    <row r="18" ht="15" customHeight="1" s="40">
      <c r="B18" s="61" t="inlineStr">
        <is>
          <t>Brand Archetypes</t>
        </is>
      </c>
      <c r="C18" s="62" t="inlineStr">
        <is>
          <t>24</t>
        </is>
      </c>
      <c r="D18" s="61" t="inlineStr">
        <is>
          <t>Each with GTM identity, pricing, voice, art direction</t>
        </is>
      </c>
      <c r="H18" s="44" t="inlineStr">
        <is>
          <t>REPO-BACKED: brand_archetype_registry</t>
        </is>
      </c>
    </row>
    <row r="19" ht="15" customHeight="1" s="40">
      <c r="B19" s="61" t="inlineStr">
        <is>
          <t>USLF Teachers</t>
        </is>
      </c>
      <c r="C19" s="62" t="inlineStr">
        <is>
          <t>13</t>
        </is>
      </c>
      <c r="D19" s="61" t="inlineStr">
        <is>
          <t>Doctrine-locked; all 15 canonical topics</t>
        </is>
      </c>
      <c r="H19" s="44" t="inlineStr">
        <is>
          <t>REPO-BACKED: config/authoring/</t>
        </is>
      </c>
    </row>
    <row r="20" ht="15" customHeight="1" s="40">
      <c r="B20" s="61" t="inlineStr">
        <is>
          <t>Languages</t>
        </is>
      </c>
      <c r="C20" s="62" t="inlineStr">
        <is>
          <t>12</t>
        </is>
      </c>
      <c r="D20" s="61" t="inlineStr">
        <is>
          <t>EN-US primary; JP, ES, FR, DE, PT, KO, ZH, HI, AR, IT, RU</t>
        </is>
      </c>
      <c r="H20" s="58" t="inlineStr">
        <is>
          <t>ESTIMATE: 12 lang supported, not all live</t>
        </is>
      </c>
    </row>
    <row r="21" ht="15" customHeight="1" s="40">
      <c r="B21" s="61" t="inlineStr">
        <is>
          <t>Output Formats</t>
        </is>
      </c>
      <c r="C21" s="62" t="inlineStr">
        <is>
          <t>16</t>
        </is>
      </c>
      <c r="D21" s="61" t="inlineStr">
        <is>
          <t>Including 6 manga variants (JP market exclusive)</t>
        </is>
      </c>
      <c r="H21" s="44" t="inlineStr">
        <is>
          <t>REPO-BACKED: specs/ + manga variants</t>
        </is>
      </c>
    </row>
    <row r="22" ht="15" customHeight="1" s="40">
      <c r="B22" s="61" t="inlineStr">
        <is>
          <t>Structural Formats</t>
        </is>
      </c>
      <c r="C22" s="62" t="inlineStr">
        <is>
          <t>18</t>
        </is>
      </c>
      <c r="D22" s="61" t="inlineStr">
        <is>
          <t>F001–F018; 7 runtime tiers (90s to 6 hours)</t>
        </is>
      </c>
      <c r="H22" s="44" t="inlineStr">
        <is>
          <t>REPO-BACKED: config/format_selection/</t>
        </is>
      </c>
    </row>
    <row r="23" ht="15" customHeight="1" s="40">
      <c r="B23" s="61" t="inlineStr">
        <is>
          <t>Canonical Topics</t>
        </is>
      </c>
      <c r="C23" s="62" t="inlineStr">
        <is>
          <t>15</t>
        </is>
      </c>
      <c r="D23" s="61" t="inlineStr">
        <is>
          <t>Anxiety, burnout, grief, self-worth, boundaries, etc.</t>
        </is>
      </c>
      <c r="H23" s="44" t="inlineStr">
        <is>
          <t>REPO-BACKED: config/source_of_truth/</t>
        </is>
      </c>
    </row>
    <row r="24" ht="15" customHeight="1" s="40">
      <c r="B24" s="61" t="inlineStr">
        <is>
          <t>Variation Knobs</t>
        </is>
      </c>
      <c r="C24" s="62" t="inlineStr">
        <is>
          <t>5</t>
        </is>
      </c>
      <c r="D24" s="61" t="inlineStr">
        <is>
          <t>book_structure, journey_shape, motif, reframe_profile, section_reorder</t>
        </is>
      </c>
      <c r="H24" s="44" t="inlineStr">
        <is>
          <t>REPO-BACKED: config/format_selection/</t>
        </is>
      </c>
    </row>
    <row r="25" ht="15" customHeight="1" s="40">
      <c r="B25" s="61" t="inlineStr">
        <is>
          <t>V3.2 Marketing Systems</t>
        </is>
      </c>
      <c r="C25" s="62" t="inlineStr">
        <is>
          <t>7</t>
        </is>
      </c>
      <c r="D25" s="61" t="inlineStr">
        <is>
          <t>EOIS, Contrast, Audiobook Dominance, Binge, Social, Chaos, Transform</t>
        </is>
      </c>
      <c r="H25" s="44" t="inlineStr">
        <is>
          <t>REPO-BACKED: V3.2 spec</t>
        </is>
      </c>
    </row>
    <row r="26" ht="15" customHeight="1" s="40">
      <c r="B26" s="61" t="inlineStr">
        <is>
          <t>QA Checks Per Book</t>
        </is>
      </c>
      <c r="C26" s="62" t="inlineStr">
        <is>
          <t>20</t>
        </is>
      </c>
      <c r="D26" s="61" t="inlineStr">
        <is>
          <t>11 V3.2 + 9 V3.1 automated gates</t>
        </is>
      </c>
      <c r="H26" s="44" t="inlineStr">
        <is>
          <t>REPO-BACKED: QA pipeline</t>
        </is>
      </c>
    </row>
    <row r="27" ht="15" customHeight="1" s="40">
      <c r="B27" s="61" t="inlineStr">
        <is>
          <t>Distribution Platforms</t>
        </is>
      </c>
      <c r="C27" s="62" t="inlineStr">
        <is>
          <t>30+</t>
        </is>
      </c>
      <c r="D27" s="61" t="inlineStr">
        <is>
          <t>GP Books, Apple, Spotify, Kobo, libraries via INaudio</t>
        </is>
      </c>
      <c r="H27" s="58" t="inlineStr">
        <is>
          <t>ESTIMATE: target platform count</t>
        </is>
      </c>
    </row>
    <row r="29" ht="15" customHeight="1" s="40">
      <c r="B29" s="55" t="inlineStr">
        <is>
          <t>Y1 REVENUE SCENARIOS</t>
        </is>
      </c>
    </row>
    <row r="30" ht="15" customHeight="1" s="40">
      <c r="B30" s="63" t="inlineStr">
        <is>
          <t>Scenario</t>
        </is>
      </c>
      <c r="C30" s="63" t="inlineStr">
        <is>
          <t>Google Play ($)</t>
        </is>
      </c>
      <c r="D30" s="63" t="inlineStr">
        <is>
          <t>INaudio ($)</t>
        </is>
      </c>
      <c r="E30" s="63" t="inlineStr">
        <is>
          <t>Total ($)</t>
        </is>
      </c>
      <c r="H30" s="43" t="inlineStr">
        <is>
          <t>DATA SOURCE</t>
        </is>
      </c>
    </row>
    <row r="31" ht="15" customHeight="1" s="40">
      <c r="B31" s="64" t="inlineStr">
        <is>
          <t>Downside</t>
        </is>
      </c>
      <c r="C31" s="65" t="n">
        <v>21000</v>
      </c>
      <c r="D31" s="65" t="n">
        <v>8000</v>
      </c>
      <c r="E31" s="66">
        <f>C31+D31</f>
        <v/>
      </c>
      <c r="H31" s="67" t="inlineStr">
        <is>
          <t>ASSUMPTION: pre-revenue projection</t>
        </is>
      </c>
    </row>
    <row r="32" ht="15" customHeight="1" s="40">
      <c r="B32" s="64" t="inlineStr">
        <is>
          <t>Conservative</t>
        </is>
      </c>
      <c r="C32" s="65" t="n">
        <v>36000</v>
      </c>
      <c r="D32" s="65" t="n">
        <v>14000</v>
      </c>
      <c r="E32" s="66">
        <f>C32+D32</f>
        <v/>
      </c>
      <c r="H32" s="67" t="inlineStr">
        <is>
          <t>ASSUMPTION: pre-revenue projection</t>
        </is>
      </c>
    </row>
    <row r="33" ht="15" customHeight="1" s="40">
      <c r="B33" s="68" t="inlineStr">
        <is>
          <t>Most Likely</t>
        </is>
      </c>
      <c r="C33" s="69" t="n">
        <v>48000</v>
      </c>
      <c r="D33" s="69" t="n">
        <v>20000</v>
      </c>
      <c r="E33" s="70">
        <f>C33+D33</f>
        <v/>
      </c>
      <c r="H33" s="67" t="inlineStr">
        <is>
          <t>ASSUMPTION: pre-revenue projection</t>
        </is>
      </c>
    </row>
    <row r="34" ht="15" customHeight="1" s="40">
      <c r="B34" s="64" t="inlineStr">
        <is>
          <t>Optimistic</t>
        </is>
      </c>
      <c r="C34" s="65" t="n">
        <v>72000</v>
      </c>
      <c r="D34" s="65" t="n">
        <v>36000</v>
      </c>
      <c r="E34" s="66">
        <f>C34+D34</f>
        <v/>
      </c>
      <c r="H34" s="67" t="inlineStr">
        <is>
          <t>ASSUMPTION: pre-revenue projection</t>
        </is>
      </c>
    </row>
    <row r="35" ht="15" customHeight="1" s="40">
      <c r="B35" s="64" t="inlineStr">
        <is>
          <t>Upside</t>
        </is>
      </c>
      <c r="C35" s="65" t="n">
        <v>96000</v>
      </c>
      <c r="D35" s="65" t="n">
        <v>48000</v>
      </c>
      <c r="E35" s="66">
        <f>C35+D35</f>
        <v/>
      </c>
      <c r="H35" s="67" t="inlineStr">
        <is>
          <t>ASSUMPTION: pre-revenue projection</t>
        </is>
      </c>
    </row>
  </sheetData>
  <mergeCells count="13">
    <mergeCell ref="B3:G3"/>
    <mergeCell ref="B2:G2"/>
    <mergeCell ref="C7:G7"/>
    <mergeCell ref="C12:G12"/>
    <mergeCell ref="B15:C15"/>
    <mergeCell ref="B29:C29"/>
    <mergeCell ref="C6:G6"/>
    <mergeCell ref="C10:G10"/>
    <mergeCell ref="B5:C5"/>
    <mergeCell ref="C11:G11"/>
    <mergeCell ref="C13:G13"/>
    <mergeCell ref="C8:G8"/>
    <mergeCell ref="C9:G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I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52" min="1" max="1"/>
    <col width="14" customWidth="1" style="52" min="2" max="2"/>
    <col width="16" customWidth="1" style="52" min="3" max="8"/>
    <col width="38" customWidth="1" style="40" min="9" max="9"/>
  </cols>
  <sheetData>
    <row r="2" ht="17.35" customHeight="1" s="40">
      <c r="B2" s="71" t="inlineStr">
        <is>
          <t>MONTHLY REVENUE RAMP — YEAR 1 (MOST LIKELY SCENARIO)</t>
        </is>
      </c>
    </row>
    <row r="4" ht="26.85" customHeight="1" s="40">
      <c r="B4" s="72" t="inlineStr">
        <is>
          <t>Month</t>
        </is>
      </c>
      <c r="C4" s="72" t="inlineStr">
        <is>
          <t>Google Play ($)</t>
        </is>
      </c>
      <c r="D4" s="72" t="inlineStr">
        <is>
          <t>INaudio ($)</t>
        </is>
      </c>
      <c r="E4" s="72" t="inlineStr">
        <is>
          <t>Monthly Total ($)</t>
        </is>
      </c>
      <c r="F4" s="72" t="inlineStr">
        <is>
          <t>Cumulative GP ($)</t>
        </is>
      </c>
      <c r="G4" s="72" t="inlineStr">
        <is>
          <t>Cumulative INaudio ($)</t>
        </is>
      </c>
      <c r="H4" s="72" t="inlineStr">
        <is>
          <t>Cumulative Total ($)</t>
        </is>
      </c>
      <c r="I4" s="43" t="inlineStr">
        <is>
          <t>DATA SOURCE</t>
        </is>
      </c>
    </row>
    <row r="5" ht="15" customHeight="1" s="40">
      <c r="B5" s="61" t="inlineStr">
        <is>
          <t>Jan</t>
        </is>
      </c>
      <c r="C5" s="65" t="n">
        <v>1800</v>
      </c>
      <c r="D5" s="65" t="n">
        <v>400</v>
      </c>
      <c r="E5" s="66">
        <f>C5+D5</f>
        <v/>
      </c>
      <c r="F5" s="66">
        <f>C5</f>
        <v/>
      </c>
      <c r="G5" s="66">
        <f>D5</f>
        <v/>
      </c>
      <c r="H5" s="66">
        <f>E5</f>
        <v/>
      </c>
      <c r="I5" s="67" t="inlineStr">
        <is>
          <t>ASSUMPTION: pre-revenue projection</t>
        </is>
      </c>
    </row>
    <row r="6" ht="15" customHeight="1" s="40">
      <c r="B6" s="61" t="inlineStr">
        <is>
          <t>Feb</t>
        </is>
      </c>
      <c r="C6" s="65" t="n">
        <v>2800</v>
      </c>
      <c r="D6" s="65" t="n">
        <v>800</v>
      </c>
      <c r="E6" s="66">
        <f>C6+D6</f>
        <v/>
      </c>
      <c r="F6" s="66">
        <f>F5+C6</f>
        <v/>
      </c>
      <c r="G6" s="66">
        <f>G5+D6</f>
        <v/>
      </c>
      <c r="H6" s="66">
        <f>H5+E6</f>
        <v/>
      </c>
      <c r="I6" s="67" t="inlineStr">
        <is>
          <t>ASSUMPTION: pre-revenue projection</t>
        </is>
      </c>
    </row>
    <row r="7" ht="15" customHeight="1" s="40">
      <c r="B7" s="61" t="inlineStr">
        <is>
          <t>Mar</t>
        </is>
      </c>
      <c r="C7" s="65" t="n">
        <v>3600</v>
      </c>
      <c r="D7" s="65" t="n">
        <v>1400</v>
      </c>
      <c r="E7" s="66">
        <f>C7+D7</f>
        <v/>
      </c>
      <c r="F7" s="66">
        <f>F6+C7</f>
        <v/>
      </c>
      <c r="G7" s="66">
        <f>G6+D7</f>
        <v/>
      </c>
      <c r="H7" s="66">
        <f>H6+E7</f>
        <v/>
      </c>
      <c r="I7" s="67" t="inlineStr">
        <is>
          <t>ASSUMPTION: pre-revenue projection</t>
        </is>
      </c>
    </row>
    <row r="8" ht="15" customHeight="1" s="40">
      <c r="B8" s="61" t="inlineStr">
        <is>
          <t>Apr</t>
        </is>
      </c>
      <c r="C8" s="65" t="n">
        <v>4200</v>
      </c>
      <c r="D8" s="65" t="n">
        <v>2000</v>
      </c>
      <c r="E8" s="66">
        <f>C8+D8</f>
        <v/>
      </c>
      <c r="F8" s="66">
        <f>F7+C8</f>
        <v/>
      </c>
      <c r="G8" s="66">
        <f>G7+D8</f>
        <v/>
      </c>
      <c r="H8" s="66">
        <f>H7+E8</f>
        <v/>
      </c>
      <c r="I8" s="67" t="inlineStr">
        <is>
          <t>ASSUMPTION: pre-revenue projection</t>
        </is>
      </c>
    </row>
    <row r="9" ht="15" customHeight="1" s="40">
      <c r="B9" s="61" t="inlineStr">
        <is>
          <t>May</t>
        </is>
      </c>
      <c r="C9" s="65" t="n">
        <v>4800</v>
      </c>
      <c r="D9" s="65" t="n">
        <v>2400</v>
      </c>
      <c r="E9" s="66">
        <f>C9+D9</f>
        <v/>
      </c>
      <c r="F9" s="66">
        <f>F8+C9</f>
        <v/>
      </c>
      <c r="G9" s="66">
        <f>G8+D9</f>
        <v/>
      </c>
      <c r="H9" s="66">
        <f>H8+E9</f>
        <v/>
      </c>
      <c r="I9" s="67" t="inlineStr">
        <is>
          <t>ASSUMPTION: pre-revenue projection</t>
        </is>
      </c>
    </row>
    <row r="10" ht="15" customHeight="1" s="40">
      <c r="B10" s="61" t="inlineStr">
        <is>
          <t>Jun</t>
        </is>
      </c>
      <c r="C10" s="65" t="n">
        <v>5200</v>
      </c>
      <c r="D10" s="65" t="n">
        <v>2800</v>
      </c>
      <c r="E10" s="66">
        <f>C10+D10</f>
        <v/>
      </c>
      <c r="F10" s="66">
        <f>F9+C10</f>
        <v/>
      </c>
      <c r="G10" s="66">
        <f>G9+D10</f>
        <v/>
      </c>
      <c r="H10" s="66">
        <f>H9+E10</f>
        <v/>
      </c>
      <c r="I10" s="67" t="inlineStr">
        <is>
          <t>ASSUMPTION: pre-revenue projection</t>
        </is>
      </c>
    </row>
    <row r="11" ht="15" customHeight="1" s="40">
      <c r="B11" s="61" t="inlineStr">
        <is>
          <t>Jul</t>
        </is>
      </c>
      <c r="C11" s="65" t="n">
        <v>5400</v>
      </c>
      <c r="D11" s="65" t="n">
        <v>3000</v>
      </c>
      <c r="E11" s="66">
        <f>C11+D11</f>
        <v/>
      </c>
      <c r="F11" s="66">
        <f>F10+C11</f>
        <v/>
      </c>
      <c r="G11" s="66">
        <f>G10+D11</f>
        <v/>
      </c>
      <c r="H11" s="66">
        <f>H10+E11</f>
        <v/>
      </c>
      <c r="I11" s="67" t="inlineStr">
        <is>
          <t>ASSUMPTION: pre-revenue projection</t>
        </is>
      </c>
    </row>
    <row r="12" ht="15" customHeight="1" s="40">
      <c r="B12" s="61" t="inlineStr">
        <is>
          <t>Aug</t>
        </is>
      </c>
      <c r="C12" s="65" t="n">
        <v>5600</v>
      </c>
      <c r="D12" s="65" t="n">
        <v>3200</v>
      </c>
      <c r="E12" s="66">
        <f>C12+D12</f>
        <v/>
      </c>
      <c r="F12" s="66">
        <f>F11+C12</f>
        <v/>
      </c>
      <c r="G12" s="66">
        <f>G11+D12</f>
        <v/>
      </c>
      <c r="H12" s="66">
        <f>H11+E12</f>
        <v/>
      </c>
      <c r="I12" s="67" t="inlineStr">
        <is>
          <t>ASSUMPTION: pre-revenue projection</t>
        </is>
      </c>
    </row>
    <row r="13" ht="15" customHeight="1" s="40">
      <c r="B13" s="61" t="inlineStr">
        <is>
          <t>Sep</t>
        </is>
      </c>
      <c r="C13" s="65" t="n">
        <v>5800</v>
      </c>
      <c r="D13" s="65" t="n">
        <v>3400</v>
      </c>
      <c r="E13" s="66">
        <f>C13+D13</f>
        <v/>
      </c>
      <c r="F13" s="66">
        <f>F12+C13</f>
        <v/>
      </c>
      <c r="G13" s="66">
        <f>G12+D13</f>
        <v/>
      </c>
      <c r="H13" s="66">
        <f>H12+E13</f>
        <v/>
      </c>
      <c r="I13" s="67" t="inlineStr">
        <is>
          <t>ASSUMPTION: pre-revenue projection</t>
        </is>
      </c>
    </row>
    <row r="14" ht="15" customHeight="1" s="40">
      <c r="B14" s="61" t="inlineStr">
        <is>
          <t>Oct</t>
        </is>
      </c>
      <c r="C14" s="65" t="n">
        <v>6000</v>
      </c>
      <c r="D14" s="65" t="n">
        <v>3500</v>
      </c>
      <c r="E14" s="66">
        <f>C14+D14</f>
        <v/>
      </c>
      <c r="F14" s="66">
        <f>F13+C14</f>
        <v/>
      </c>
      <c r="G14" s="66">
        <f>G13+D14</f>
        <v/>
      </c>
      <c r="H14" s="66">
        <f>H13+E14</f>
        <v/>
      </c>
      <c r="I14" s="67" t="inlineStr">
        <is>
          <t>ASSUMPTION: pre-revenue projection</t>
        </is>
      </c>
    </row>
    <row r="15" ht="15" customHeight="1" s="40">
      <c r="B15" s="61" t="inlineStr">
        <is>
          <t>Nov</t>
        </is>
      </c>
      <c r="C15" s="65" t="n">
        <v>6200</v>
      </c>
      <c r="D15" s="65" t="n">
        <v>3600</v>
      </c>
      <c r="E15" s="66">
        <f>C15+D15</f>
        <v/>
      </c>
      <c r="F15" s="66">
        <f>F14+C15</f>
        <v/>
      </c>
      <c r="G15" s="66">
        <f>G14+D15</f>
        <v/>
      </c>
      <c r="H15" s="66">
        <f>H14+E15</f>
        <v/>
      </c>
      <c r="I15" s="67" t="inlineStr">
        <is>
          <t>ASSUMPTION: pre-revenue projection</t>
        </is>
      </c>
    </row>
    <row r="16" ht="15" customHeight="1" s="40">
      <c r="B16" s="61" t="inlineStr">
        <is>
          <t>Dec</t>
        </is>
      </c>
      <c r="C16" s="65" t="n">
        <v>6400</v>
      </c>
      <c r="D16" s="65" t="n">
        <v>3800</v>
      </c>
      <c r="E16" s="66">
        <f>C16+D16</f>
        <v/>
      </c>
      <c r="F16" s="66">
        <f>F15+C16</f>
        <v/>
      </c>
      <c r="G16" s="66">
        <f>G15+D16</f>
        <v/>
      </c>
      <c r="H16" s="66">
        <f>H15+E16</f>
        <v/>
      </c>
      <c r="I16" s="67" t="inlineStr">
        <is>
          <t>ASSUMPTION: pre-revenue projection</t>
        </is>
      </c>
    </row>
    <row r="18" ht="15" customHeight="1" s="40">
      <c r="B18" s="73" t="inlineStr">
        <is>
          <t>YEAR 1 TOTAL</t>
        </is>
      </c>
      <c r="C18" s="74">
        <f>SUM(C5:C16)</f>
        <v/>
      </c>
      <c r="D18" s="74">
        <f>SUM(D5:D16)</f>
        <v/>
      </c>
      <c r="E18" s="74">
        <f>SUM(E5:E16)</f>
        <v/>
      </c>
      <c r="I18" s="67" t="inlineStr">
        <is>
          <t>ASSUMPTION: pre-revenue projection</t>
        </is>
      </c>
    </row>
    <row r="21" ht="15" customHeight="1" s="40">
      <c r="B21" s="75" t="inlineStr">
        <is>
          <t>YEAR 2 QUARTERLY PROJECTION</t>
        </is>
      </c>
    </row>
    <row r="22" ht="15" customHeight="1" s="40">
      <c r="B22" s="63" t="inlineStr">
        <is>
          <t>Quarter</t>
        </is>
      </c>
      <c r="C22" s="63" t="inlineStr">
        <is>
          <t>Revenue ($)</t>
        </is>
      </c>
      <c r="D22" s="63" t="inlineStr">
        <is>
          <t>Notes</t>
        </is>
      </c>
      <c r="E22" s="43" t="inlineStr">
        <is>
          <t>DATA SOURCE</t>
        </is>
      </c>
    </row>
    <row r="23" ht="15" customHeight="1" s="40">
      <c r="B23" s="61" t="inlineStr">
        <is>
          <t>Y2 Q1</t>
        </is>
      </c>
      <c r="C23" s="65" t="n">
        <v>38000</v>
      </c>
      <c r="D23" s="61" t="inlineStr">
        <is>
          <t>Kill bottom 30%, double catalog for winners</t>
        </is>
      </c>
      <c r="E23" s="67" t="inlineStr">
        <is>
          <t>ASSUMPTION: pre-revenue projection</t>
        </is>
      </c>
    </row>
    <row r="24" ht="15" customHeight="1" s="40">
      <c r="B24" s="61" t="inlineStr">
        <is>
          <t>Y2 Q2</t>
        </is>
      </c>
      <c r="C24" s="65" t="n">
        <v>52000</v>
      </c>
      <c r="D24" s="61" t="inlineStr">
        <is>
          <t>500+ new titles in pipeline, JP manga launch</t>
        </is>
      </c>
      <c r="E24" s="67" t="inlineStr">
        <is>
          <t>ASSUMPTION: pre-revenue projection</t>
        </is>
      </c>
    </row>
    <row r="25" ht="15" customHeight="1" s="40">
      <c r="B25" s="61" t="inlineStr">
        <is>
          <t>Y2 Q3</t>
        </is>
      </c>
      <c r="C25" s="65" t="n">
        <v>68000</v>
      </c>
      <c r="D25" s="61" t="inlineStr">
        <is>
          <t>Series authority building, library checkouts scaling</t>
        </is>
      </c>
      <c r="E25" s="67" t="inlineStr">
        <is>
          <t>ASSUMPTION: pre-revenue projection</t>
        </is>
      </c>
    </row>
    <row r="26" ht="15" customHeight="1" s="40">
      <c r="B26" s="61" t="inlineStr">
        <is>
          <t>Y2 Q4</t>
        </is>
      </c>
      <c r="C26" s="65" t="n">
        <v>82000</v>
      </c>
      <c r="D26" s="61" t="inlineStr">
        <is>
          <t>Full 12-language rollout, recommendation flywheel</t>
        </is>
      </c>
      <c r="E26" s="67" t="inlineStr">
        <is>
          <t>ASSUMPTION: pre-revenue projection</t>
        </is>
      </c>
    </row>
    <row r="27" ht="15" customHeight="1" s="40">
      <c r="B27" s="76" t="inlineStr">
        <is>
          <t>Y2 TOTAL</t>
        </is>
      </c>
      <c r="C27" s="77">
        <f>SUM(C23:C26)</f>
        <v/>
      </c>
      <c r="D27" s="78" t="n"/>
      <c r="E27" s="67" t="inlineStr">
        <is>
          <t>ASSUMPTION: pre-revenue projection</t>
        </is>
      </c>
    </row>
  </sheetData>
  <mergeCells count="2">
    <mergeCell ref="B2:H2"/>
    <mergeCell ref="B21:H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E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52" min="1" max="1"/>
    <col width="35" customWidth="1" style="52" min="2" max="2"/>
    <col width="18" customWidth="1" style="52" min="3" max="4"/>
    <col width="50" customWidth="1" style="40" min="4" max="4"/>
    <col width="38" customWidth="1" style="52" min="5" max="5"/>
  </cols>
  <sheetData>
    <row r="2" ht="17.35" customHeight="1" s="40">
      <c r="B2" s="71" t="inlineStr">
        <is>
          <t>UNIT ECONOMICS</t>
        </is>
      </c>
    </row>
    <row r="4" ht="15" customHeight="1" s="40">
      <c r="B4" s="55" t="inlineStr">
        <is>
          <t>PRICING</t>
        </is>
      </c>
      <c r="E4" s="43" t="inlineStr">
        <is>
          <t>PROVENANCE</t>
        </is>
      </c>
    </row>
    <row r="5" ht="15" customHeight="1" s="40">
      <c r="B5" s="61" t="inlineStr">
        <is>
          <t>Blended ASP (Average Selling Price)</t>
        </is>
      </c>
      <c r="C5" s="64" t="inlineStr">
        <is>
          <t>$6.00–$6.50</t>
        </is>
      </c>
      <c r="D5" s="79" t="inlineStr">
        <is>
          <t>Source: brand_archetype_registry.yaml, weighted avg across 24 brands</t>
        </is>
      </c>
      <c r="E5" s="44" t="inlineStr">
        <is>
          <t>REPO-BACKED: brand_archetype_registry</t>
        </is>
      </c>
    </row>
    <row r="6" ht="15" customHeight="1" s="40">
      <c r="B6" s="61" t="inlineStr">
        <is>
          <t>Micro Sessions (Tier D-E)</t>
        </is>
      </c>
      <c r="C6" s="64" t="inlineStr">
        <is>
          <t>$1.99–$7.99</t>
        </is>
      </c>
      <c r="D6" s="79" t="inlineStr">
        <is>
          <t>Source: brand_archetype_registry.yaml, pricing_posture.micro_sessions</t>
        </is>
      </c>
      <c r="E6" s="44" t="inlineStr">
        <is>
          <t>REPO-BACKED: brand_archetype_registry</t>
        </is>
      </c>
    </row>
    <row r="7" ht="15" customHeight="1" s="40">
      <c r="B7" s="61" t="inlineStr">
        <is>
          <t>Deep Dives (Tier A-B)</t>
        </is>
      </c>
      <c r="C7" s="64" t="inlineStr">
        <is>
          <t>$14.99–$29.99</t>
        </is>
      </c>
      <c r="D7" s="79" t="inlineStr">
        <is>
          <t>Source: brand_archetype_registry.yaml, pricing_posture.deep_dives</t>
        </is>
      </c>
      <c r="E7" s="44" t="inlineStr">
        <is>
          <t>REPO-BACKED: brand_archetype_registry</t>
        </is>
      </c>
    </row>
    <row r="8" ht="15" customHeight="1" s="40">
      <c r="B8" s="61" t="inlineStr">
        <is>
          <t>Series Bundle Discount</t>
        </is>
      </c>
      <c r="C8" s="64" t="inlineStr">
        <is>
          <t>15–25%</t>
        </is>
      </c>
      <c r="D8" s="79" t="inlineStr">
        <is>
          <t>Source: revenue_dashboard.jsx, discount_ratio 0.20 avg</t>
        </is>
      </c>
      <c r="E8" s="58" t="inlineStr">
        <is>
          <t>ESTIMATE: from planning model</t>
        </is>
      </c>
    </row>
    <row r="10" ht="15" customHeight="1" s="40">
      <c r="B10" s="55" t="inlineStr">
        <is>
          <t>PLATFORM REVENUE SHARES</t>
        </is>
      </c>
    </row>
    <row r="11" ht="15" customHeight="1" s="40">
      <c r="B11" s="61" t="inlineStr">
        <is>
          <t>Google Play Books — Publisher Split</t>
        </is>
      </c>
      <c r="C11" s="64" t="inlineStr">
        <is>
          <t>70%</t>
        </is>
      </c>
      <c r="D11" s="79" t="inlineStr">
        <is>
          <t>Source: revenue_dashboard.jsx</t>
        </is>
      </c>
      <c r="E11" s="47" t="inlineStr">
        <is>
          <t>EXTERNAL: Google Play terms</t>
        </is>
      </c>
    </row>
    <row r="12" ht="15" customHeight="1" s="40">
      <c r="B12" s="61" t="inlineStr">
        <is>
          <t>INaudio (Findaway) — Net Revenue</t>
        </is>
      </c>
      <c r="C12" s="64" t="inlineStr">
        <is>
          <t>80%</t>
        </is>
      </c>
      <c r="D12" s="79" t="inlineStr">
        <is>
          <t>Source: revenue_dashboard.jsx, after retailer splits</t>
        </is>
      </c>
      <c r="E12" s="47" t="inlineStr">
        <is>
          <t>EXTERNAL: Findaway/INaudio terms</t>
        </is>
      </c>
    </row>
    <row r="13" ht="15" customHeight="1" s="40">
      <c r="B13" s="61" t="inlineStr">
        <is>
          <t>Library Checkout Rate</t>
        </is>
      </c>
      <c r="C13" s="64" t="inlineStr">
        <is>
          <t>$1.50–$4.00/checkout</t>
        </is>
      </c>
      <c r="D13" s="79" t="inlineStr">
        <is>
          <t>Source: revenue_dashboard.jsx</t>
        </is>
      </c>
      <c r="E13" s="58" t="inlineStr">
        <is>
          <t>ESTIMATE: from planning model</t>
        </is>
      </c>
    </row>
    <row r="14" ht="15" customHeight="1" s="40">
      <c r="B14" s="61" t="inlineStr">
        <is>
          <t>Spotify Streaming Pool</t>
        </is>
      </c>
      <c r="C14" s="64" t="inlineStr">
        <is>
          <t>$0.005–$0.02/min</t>
        </is>
      </c>
      <c r="D14" s="79" t="inlineStr">
        <is>
          <t>Source: revenue_dashboard.jsx</t>
        </is>
      </c>
      <c r="E14" s="58" t="inlineStr">
        <is>
          <t>ESTIMATE: from planning model</t>
        </is>
      </c>
    </row>
    <row r="16" ht="15" customHeight="1" s="40">
      <c r="B16" s="55" t="inlineStr">
        <is>
          <t>CONVERSION &amp; DISCOVERY</t>
        </is>
      </c>
    </row>
    <row r="17" ht="15" customHeight="1" s="40">
      <c r="B17" s="61" t="inlineStr">
        <is>
          <t>Blended Conversion Rate</t>
        </is>
      </c>
      <c r="C17" s="64" t="inlineStr">
        <is>
          <t>1.5–2.5%</t>
        </is>
      </c>
      <c r="D17" s="79" t="inlineStr">
        <is>
          <t>Source: revenue_dashboard.jsx</t>
        </is>
      </c>
      <c r="E17" s="67" t="inlineStr">
        <is>
          <t>ASSUMPTION: pre-revenue estimate</t>
        </is>
      </c>
    </row>
    <row r="18" ht="15" customHeight="1" s="40">
      <c r="B18" s="61" t="inlineStr">
        <is>
          <t>High-Intent CR (panic, ADHD)</t>
        </is>
      </c>
      <c r="C18" s="64" t="inlineStr">
        <is>
          <t>2.5–3.5%</t>
        </is>
      </c>
      <c r="D18" s="79" t="inlineStr">
        <is>
          <t>Source: revenue_dashboard.jsx</t>
        </is>
      </c>
      <c r="E18" s="67" t="inlineStr">
        <is>
          <t>ASSUMPTION: pre-revenue estimate</t>
        </is>
      </c>
    </row>
    <row r="19" ht="15" customHeight="1" s="40">
      <c r="B19" s="61" t="inlineStr">
        <is>
          <t>Browse-Intent CR (wisdom)</t>
        </is>
      </c>
      <c r="C19" s="64" t="inlineStr">
        <is>
          <t>0.8–1.5%</t>
        </is>
      </c>
      <c r="D19" s="79" t="inlineStr">
        <is>
          <t>Source: revenue_dashboard.jsx</t>
        </is>
      </c>
      <c r="E19" s="67" t="inlineStr">
        <is>
          <t>ASSUMPTION: pre-revenue estimate</t>
        </is>
      </c>
    </row>
    <row r="20" ht="15" customHeight="1" s="40">
      <c r="B20" s="61" t="inlineStr">
        <is>
          <t>Monthly Impressions Per Book</t>
        </is>
      </c>
      <c r="C20" s="64" t="inlineStr">
        <is>
          <t>200–800</t>
        </is>
      </c>
      <c r="D20" s="79" t="inlineStr">
        <is>
          <t>Source: revenue_dashboard.jsx</t>
        </is>
      </c>
      <c r="E20" s="67" t="inlineStr">
        <is>
          <t>ASSUMPTION: pre-revenue estimate</t>
        </is>
      </c>
    </row>
    <row r="21" ht="15" customHeight="1" s="40">
      <c r="B21" s="61" t="inlineStr">
        <is>
          <t>Platform Revenue Split — GP</t>
        </is>
      </c>
      <c r="C21" s="64" t="inlineStr">
        <is>
          <t>62%</t>
        </is>
      </c>
      <c r="D21" s="79" t="inlineStr">
        <is>
          <t>Source: revenue_dashboard.jsx, platformSplit</t>
        </is>
      </c>
      <c r="E21" s="67" t="inlineStr">
        <is>
          <t>ASSUMPTION: pre-revenue estimate</t>
        </is>
      </c>
    </row>
    <row r="22" ht="15" customHeight="1" s="40">
      <c r="B22" s="61" t="inlineStr">
        <is>
          <t>Platform Revenue Split — INaudio</t>
        </is>
      </c>
      <c r="C22" s="64" t="inlineStr">
        <is>
          <t>38%</t>
        </is>
      </c>
      <c r="D22" s="79" t="inlineStr">
        <is>
          <t>Source: revenue_dashboard.jsx, platformSplit</t>
        </is>
      </c>
      <c r="E22" s="67" t="inlineStr">
        <is>
          <t>ASSUMPTION: pre-revenue estimate</t>
        </is>
      </c>
    </row>
    <row r="24" ht="15" customHeight="1" s="40">
      <c r="B24" s="55" t="inlineStr">
        <is>
          <t>COST STRUCTURE</t>
        </is>
      </c>
    </row>
    <row r="25" ht="15" customHeight="1" s="40">
      <c r="B25" s="61" t="inlineStr">
        <is>
          <t>Voice Production (TTS)</t>
        </is>
      </c>
      <c r="C25" s="64" t="inlineStr">
        <is>
          <t>$0</t>
        </is>
      </c>
      <c r="D25" s="79" t="inlineStr">
        <is>
          <t>Auto-narration — Google Play TTS or ElevenLabs</t>
        </is>
      </c>
      <c r="E25" s="44" t="inlineStr">
        <is>
          <t>REPO-BACKED: auto-narration pipeline</t>
        </is>
      </c>
    </row>
    <row r="26" ht="15" customHeight="1" s="40">
      <c r="B26" s="61" t="inlineStr">
        <is>
          <t>Content Production (Writing)</t>
        </is>
      </c>
      <c r="C26" s="64" t="inlineStr">
        <is>
          <t>$0</t>
        </is>
      </c>
      <c r="D26" s="79" t="inlineStr">
        <is>
          <t>Deterministic assembly from pre-approved human atoms</t>
        </is>
      </c>
      <c r="E26" s="44" t="inlineStr">
        <is>
          <t>REPO-BACKED: deterministic assembly</t>
        </is>
      </c>
    </row>
    <row r="27" ht="15" customHeight="1" s="40">
      <c r="B27" s="61" t="inlineStr">
        <is>
          <t>Paid Advertising</t>
        </is>
      </c>
      <c r="C27" s="64" t="inlineStr">
        <is>
          <t>$0</t>
        </is>
      </c>
      <c r="D27" s="79" t="inlineStr">
        <is>
          <t>100% organic — search discovery only</t>
        </is>
      </c>
      <c r="E27" s="44" t="inlineStr">
        <is>
          <t>REPO-BACKED: $0 paid ads policy</t>
        </is>
      </c>
    </row>
    <row r="28" ht="15" customHeight="1" s="40">
      <c r="B28" s="61" t="inlineStr">
        <is>
          <t>Studio / Equipment</t>
        </is>
      </c>
      <c r="C28" s="64" t="inlineStr">
        <is>
          <t>$0</t>
        </is>
      </c>
      <c r="D28" s="79" t="inlineStr">
        <is>
          <t>No physical production</t>
        </is>
      </c>
      <c r="E28" s="44" t="inlineStr">
        <is>
          <t>REPO-BACKED: no physical production</t>
        </is>
      </c>
    </row>
    <row r="29" ht="15" customHeight="1" s="40">
      <c r="B29" s="61" t="inlineStr">
        <is>
          <t>Platform Distribution Fees</t>
        </is>
      </c>
      <c r="C29" s="64" t="inlineStr">
        <is>
          <t>Included in rev share</t>
        </is>
      </c>
      <c r="D29" s="79" t="inlineStr">
        <is>
          <t>GP 30% / INaudio 20% already deducted from rev share</t>
        </is>
      </c>
      <c r="E29" s="47" t="inlineStr">
        <is>
          <t>EXTERNAL: platform standard terms</t>
        </is>
      </c>
    </row>
    <row r="30" ht="15" customHeight="1" s="40">
      <c r="B30" s="61" t="inlineStr">
        <is>
          <t>Hosting / Infrastructure</t>
        </is>
      </c>
      <c r="C30" s="64" t="inlineStr">
        <is>
          <t>Minimal</t>
        </is>
      </c>
      <c r="D30" s="79" t="inlineStr">
        <is>
          <t>Pipeline runs on standard compute</t>
        </is>
      </c>
      <c r="E30" s="44" t="inlineStr">
        <is>
          <t>REPO-BACKED: standard compute</t>
        </is>
      </c>
    </row>
    <row r="31" ht="15" customHeight="1" s="40">
      <c r="B31" s="61" t="inlineStr">
        <is>
          <t>COGS Per Book</t>
        </is>
      </c>
      <c r="C31" s="64" t="inlineStr">
        <is>
          <t>$0</t>
        </is>
      </c>
      <c r="D31" s="79" t="inlineStr">
        <is>
          <t>Zero marginal cost per additional title</t>
        </is>
      </c>
      <c r="E31" s="44" t="inlineStr">
        <is>
          <t>REPO-BACKED: zero marginal cost</t>
        </is>
      </c>
    </row>
    <row r="33" ht="15" customHeight="1" s="40">
      <c r="B33" s="55" t="inlineStr">
        <is>
          <t>BREAK-EVEN ANALYSIS</t>
        </is>
      </c>
    </row>
    <row r="34" ht="15" customHeight="1" s="40">
      <c r="B34" s="73" t="inlineStr">
        <is>
          <t>Break-Even Month</t>
        </is>
      </c>
      <c r="C34" s="68" t="inlineStr">
        <is>
          <t>Month 3</t>
        </is>
      </c>
      <c r="D34" s="80" t="inlineStr">
        <is>
          <t>Source: revenue_dashboard.jsx — $0 fixed costs means first sale = profit</t>
        </is>
      </c>
      <c r="E34" s="67" t="inlineStr">
        <is>
          <t>ASSUMPTION: pre-revenue estimate</t>
        </is>
      </c>
    </row>
  </sheetData>
  <mergeCells count="6">
    <mergeCell ref="B24:C24"/>
    <mergeCell ref="B16:C16"/>
    <mergeCell ref="B33:C33"/>
    <mergeCell ref="B10:C10"/>
    <mergeCell ref="B2:E2"/>
    <mergeCell ref="B4:C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L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52" min="1" max="1"/>
    <col width="5" customWidth="1" style="52" min="2" max="2"/>
    <col width="20" customWidth="1" style="52" min="3" max="3"/>
    <col width="22" customWidth="1" style="52" min="4" max="4"/>
    <col width="12" customWidth="1" style="52" min="5" max="5"/>
    <col width="22" customWidth="1" style="52" min="6" max="7"/>
    <col width="14" customWidth="1" style="52" min="8" max="11"/>
  </cols>
  <sheetData>
    <row r="2" ht="17.35" customHeight="1" s="40">
      <c r="B2" s="71" t="inlineStr">
        <is>
          <t>24 BRAND ARCHETYPES — FULL CATALOG</t>
        </is>
      </c>
    </row>
    <row r="4" ht="15" customHeight="1" s="40">
      <c r="B4" s="72" t="inlineStr">
        <is>
          <t>#</t>
        </is>
      </c>
      <c r="C4" s="72" t="inlineStr">
        <is>
          <t>Brand ID</t>
        </is>
      </c>
      <c r="D4" s="72" t="inlineStr">
        <is>
          <t>Persona</t>
        </is>
      </c>
      <c r="E4" s="72" t="inlineStr">
        <is>
          <t>Age</t>
        </is>
      </c>
      <c r="F4" s="72" t="inlineStr">
        <is>
          <t>Emotional Job</t>
        </is>
      </c>
      <c r="G4" s="72" t="inlineStr">
        <is>
          <t>Functional Job</t>
        </is>
      </c>
      <c r="H4" s="72" t="inlineStr">
        <is>
          <t>Micro $</t>
        </is>
      </c>
      <c r="I4" s="72" t="inlineStr">
        <is>
          <t>Deep $</t>
        </is>
      </c>
      <c r="J4" s="72" t="inlineStr">
        <is>
          <t>Discount</t>
        </is>
      </c>
      <c r="K4" s="72" t="inlineStr">
        <is>
          <t>Books</t>
        </is>
      </c>
      <c r="L4" s="43" t="inlineStr">
        <is>
          <t>DATA SOURCE</t>
        </is>
      </c>
    </row>
    <row r="5" ht="15" customHeight="1" s="40">
      <c r="B5" s="81" t="inlineStr">
        <is>
          <t>01</t>
        </is>
      </c>
      <c r="C5" s="76" t="inlineStr">
        <is>
          <t>stabilizer</t>
        </is>
      </c>
      <c r="D5" s="61" t="inlineStr">
        <is>
          <t>burned_out_professional</t>
        </is>
      </c>
      <c r="E5" s="81" t="inlineStr">
        <is>
          <t>25-45</t>
        </is>
      </c>
      <c r="F5" s="61" t="inlineStr">
        <is>
          <t>calm nervous system</t>
        </is>
      </c>
      <c r="G5" s="61" t="inlineStr">
        <is>
          <t>somatic regulation</t>
        </is>
      </c>
      <c r="H5" s="64" t="inlineStr">
        <is>
          <t>$3.99–5.99</t>
        </is>
      </c>
      <c r="I5" s="64" t="inlineStr">
        <is>
          <t>$17.99–24.99</t>
        </is>
      </c>
      <c r="J5" s="81" t="inlineStr">
        <is>
          <t>20%</t>
        </is>
      </c>
      <c r="K5" s="62" t="n">
        <v>90</v>
      </c>
      <c r="L5" s="58" t="inlineStr">
        <is>
          <t>ESTIMATE: 90/brand target, not yet produced</t>
        </is>
      </c>
    </row>
    <row r="6" ht="15" customHeight="1" s="40">
      <c r="B6" s="81" t="inlineStr">
        <is>
          <t>02</t>
        </is>
      </c>
      <c r="C6" s="76" t="inlineStr">
        <is>
          <t>optimizer</t>
        </is>
      </c>
      <c r="D6" s="61" t="inlineStr">
        <is>
          <t>high_efficiency_achiever</t>
        </is>
      </c>
      <c r="E6" s="81" t="inlineStr">
        <is>
          <t>22-40</t>
        </is>
      </c>
      <c r="F6" s="61" t="inlineStr">
        <is>
          <t>feel ahead of the day</t>
        </is>
      </c>
      <c r="G6" s="61" t="inlineStr">
        <is>
          <t>increase focus</t>
        </is>
      </c>
      <c r="H6" s="64" t="inlineStr">
        <is>
          <t>$4.99–6.99</t>
        </is>
      </c>
      <c r="I6" s="64" t="inlineStr">
        <is>
          <t>$19.99–24.99</t>
        </is>
      </c>
      <c r="J6" s="81" t="inlineStr">
        <is>
          <t>20%</t>
        </is>
      </c>
      <c r="K6" s="62" t="n">
        <v>90</v>
      </c>
      <c r="L6" s="58" t="inlineStr">
        <is>
          <t>ESTIMATE: 90/brand target, not yet produced</t>
        </is>
      </c>
    </row>
    <row r="7" ht="15" customHeight="1" s="40">
      <c r="B7" s="81" t="inlineStr">
        <is>
          <t>03</t>
        </is>
      </c>
      <c r="C7" s="76" t="inlineStr">
        <is>
          <t>night_reset</t>
        </is>
      </c>
      <c r="D7" s="61" t="inlineStr">
        <is>
          <t>insomniac_creative</t>
        </is>
      </c>
      <c r="E7" s="81" t="inlineStr">
        <is>
          <t>25-45</t>
        </is>
      </c>
      <c r="F7" s="61" t="inlineStr">
        <is>
          <t>stop dreading the night</t>
        </is>
      </c>
      <c r="G7" s="61" t="inlineStr">
        <is>
          <t>fall asleep without meds</t>
        </is>
      </c>
      <c r="H7" s="64" t="inlineStr">
        <is>
          <t>$3.99–5.99</t>
        </is>
      </c>
      <c r="I7" s="64" t="inlineStr">
        <is>
          <t>$17.99–22.99</t>
        </is>
      </c>
      <c r="J7" s="81" t="inlineStr">
        <is>
          <t>20%</t>
        </is>
      </c>
      <c r="K7" s="62" t="n">
        <v>90</v>
      </c>
      <c r="L7" s="58" t="inlineStr">
        <is>
          <t>ESTIMATE: 90/brand target, not yet produced</t>
        </is>
      </c>
    </row>
    <row r="8" ht="15" customHeight="1" s="40">
      <c r="B8" s="81" t="inlineStr">
        <is>
          <t>04</t>
        </is>
      </c>
      <c r="C8" s="76" t="inlineStr">
        <is>
          <t>career_lift</t>
        </is>
      </c>
      <c r="D8" s="61" t="inlineStr">
        <is>
          <t>mid_career_stalled</t>
        </is>
      </c>
      <c r="E8" s="81" t="inlineStr">
        <is>
          <t>32-52</t>
        </is>
      </c>
      <c r="F8" s="61" t="inlineStr">
        <is>
          <t>feel unstuck</t>
        </is>
      </c>
      <c r="G8" s="61" t="inlineStr">
        <is>
          <t>clarity on next move</t>
        </is>
      </c>
      <c r="H8" s="64" t="inlineStr">
        <is>
          <t>$4.99–6.99</t>
        </is>
      </c>
      <c r="I8" s="64" t="inlineStr">
        <is>
          <t>$19.99–26.99</t>
        </is>
      </c>
      <c r="J8" s="81" t="inlineStr">
        <is>
          <t>20%</t>
        </is>
      </c>
      <c r="K8" s="62" t="n">
        <v>90</v>
      </c>
      <c r="L8" s="58" t="inlineStr">
        <is>
          <t>ESTIMATE: 90/brand target, not yet produced</t>
        </is>
      </c>
    </row>
    <row r="9" ht="15" customHeight="1" s="40">
      <c r="B9" s="81" t="inlineStr">
        <is>
          <t>05</t>
        </is>
      </c>
      <c r="C9" s="76" t="inlineStr">
        <is>
          <t>adhd_forge</t>
        </is>
      </c>
      <c r="D9" s="61" t="inlineStr">
        <is>
          <t>neurodivergent_young_adult</t>
        </is>
      </c>
      <c r="E9" s="81" t="inlineStr">
        <is>
          <t>18-35</t>
        </is>
      </c>
      <c r="F9" s="61" t="inlineStr">
        <is>
          <t>stop feeling broken</t>
        </is>
      </c>
      <c r="G9" s="61" t="inlineStr">
        <is>
          <t>sustain focus</t>
        </is>
      </c>
      <c r="H9" s="64" t="inlineStr">
        <is>
          <t>$3.99–5.99</t>
        </is>
      </c>
      <c r="I9" s="64" t="inlineStr">
        <is>
          <t>$17.99–22.99</t>
        </is>
      </c>
      <c r="J9" s="81" t="inlineStr">
        <is>
          <t>20%</t>
        </is>
      </c>
      <c r="K9" s="62" t="n">
        <v>90</v>
      </c>
      <c r="L9" s="58" t="inlineStr">
        <is>
          <t>ESTIMATE: 90/brand target, not yet produced</t>
        </is>
      </c>
    </row>
    <row r="10" ht="15" customHeight="1" s="40">
      <c r="B10" s="81" t="inlineStr">
        <is>
          <t>06</t>
        </is>
      </c>
      <c r="C10" s="76" t="inlineStr">
        <is>
          <t>longevity_lab</t>
        </is>
      </c>
      <c r="D10" s="61" t="inlineStr">
        <is>
          <t>biohacker_curious</t>
        </is>
      </c>
      <c r="E10" s="81" t="inlineStr">
        <is>
          <t>30-55</t>
        </is>
      </c>
      <c r="F10" s="61" t="inlineStr">
        <is>
          <t>feel in control of aging</t>
        </is>
      </c>
      <c r="G10" s="61" t="inlineStr">
        <is>
          <t>longevity practices</t>
        </is>
      </c>
      <c r="H10" s="64" t="inlineStr">
        <is>
          <t>$4.99–6.99</t>
        </is>
      </c>
      <c r="I10" s="64" t="inlineStr">
        <is>
          <t>$19.99–27.99</t>
        </is>
      </c>
      <c r="J10" s="81" t="inlineStr">
        <is>
          <t>20%</t>
        </is>
      </c>
      <c r="K10" s="62" t="n">
        <v>90</v>
      </c>
      <c r="L10" s="58" t="inlineStr">
        <is>
          <t>ESTIMATE: 90/brand target, not yet produced</t>
        </is>
      </c>
    </row>
    <row r="11" ht="15" customHeight="1" s="40">
      <c r="B11" s="81" t="inlineStr">
        <is>
          <t>07</t>
        </is>
      </c>
      <c r="C11" s="76" t="inlineStr">
        <is>
          <t>creative_unfold</t>
        </is>
      </c>
      <c r="D11" s="61" t="inlineStr">
        <is>
          <t>blocked_creative</t>
        </is>
      </c>
      <c r="E11" s="81" t="inlineStr">
        <is>
          <t>22-45</t>
        </is>
      </c>
      <c r="F11" s="61" t="inlineStr">
        <is>
          <t>reclaim creative voice</t>
        </is>
      </c>
      <c r="G11" s="61" t="inlineStr">
        <is>
          <t>unblock expression</t>
        </is>
      </c>
      <c r="H11" s="64" t="inlineStr">
        <is>
          <t>$3.99–5.99</t>
        </is>
      </c>
      <c r="I11" s="64" t="inlineStr">
        <is>
          <t>$17.99–24.99</t>
        </is>
      </c>
      <c r="J11" s="81" t="inlineStr">
        <is>
          <t>20%</t>
        </is>
      </c>
      <c r="K11" s="62" t="n">
        <v>90</v>
      </c>
      <c r="L11" s="58" t="inlineStr">
        <is>
          <t>ESTIMATE: 90/brand target, not yet produced</t>
        </is>
      </c>
    </row>
    <row r="12" ht="15" customHeight="1" s="40">
      <c r="B12" s="81" t="inlineStr">
        <is>
          <t>08</t>
        </is>
      </c>
      <c r="C12" s="76" t="inlineStr">
        <is>
          <t>resilient_parent</t>
        </is>
      </c>
      <c r="D12" s="61" t="inlineStr">
        <is>
          <t>overwhelmed_parent</t>
        </is>
      </c>
      <c r="E12" s="81" t="inlineStr">
        <is>
          <t>28-48</t>
        </is>
      </c>
      <c r="F12" s="61" t="inlineStr">
        <is>
          <t>feel like enough</t>
        </is>
      </c>
      <c r="G12" s="61" t="inlineStr">
        <is>
          <t>co-regulation skills</t>
        </is>
      </c>
      <c r="H12" s="64" t="inlineStr">
        <is>
          <t>$3.99–5.99</t>
        </is>
      </c>
      <c r="I12" s="64" t="inlineStr">
        <is>
          <t>$17.99–23.99</t>
        </is>
      </c>
      <c r="J12" s="81" t="inlineStr">
        <is>
          <t>20%</t>
        </is>
      </c>
      <c r="K12" s="62" t="n">
        <v>90</v>
      </c>
      <c r="L12" s="58" t="inlineStr">
        <is>
          <t>ESTIMATE: 90/brand target, not yet produced</t>
        </is>
      </c>
    </row>
    <row r="13" ht="15" customHeight="1" s="40">
      <c r="B13" s="81" t="inlineStr">
        <is>
          <t>09</t>
        </is>
      </c>
      <c r="C13" s="76" t="inlineStr">
        <is>
          <t>executive_calm</t>
        </is>
      </c>
      <c r="D13" s="61" t="inlineStr">
        <is>
          <t>senior_leader</t>
        </is>
      </c>
      <c r="E13" s="81" t="inlineStr">
        <is>
          <t>35-58</t>
        </is>
      </c>
      <c r="F13" s="61" t="inlineStr">
        <is>
          <t>lead without burning out</t>
        </is>
      </c>
      <c r="G13" s="61" t="inlineStr">
        <is>
          <t>exec-level regulation</t>
        </is>
      </c>
      <c r="H13" s="64" t="inlineStr">
        <is>
          <t>$4.99–6.99</t>
        </is>
      </c>
      <c r="I13" s="64" t="inlineStr">
        <is>
          <t>$19.99–27.99</t>
        </is>
      </c>
      <c r="J13" s="81" t="inlineStr">
        <is>
          <t>20%</t>
        </is>
      </c>
      <c r="K13" s="62" t="n">
        <v>90</v>
      </c>
      <c r="L13" s="58" t="inlineStr">
        <is>
          <t>ESTIMATE: 90/brand target, not yet produced</t>
        </is>
      </c>
    </row>
    <row r="14" ht="15" customHeight="1" s="40">
      <c r="B14" s="81" t="inlineStr">
        <is>
          <t>10</t>
        </is>
      </c>
      <c r="C14" s="76" t="inlineStr">
        <is>
          <t>trauma_path</t>
        </is>
      </c>
      <c r="D14" s="61" t="inlineStr">
        <is>
          <t>trauma_survivor</t>
        </is>
      </c>
      <c r="E14" s="81" t="inlineStr">
        <is>
          <t>22-50</t>
        </is>
      </c>
      <c r="F14" s="61" t="inlineStr">
        <is>
          <t>feel safe in body again</t>
        </is>
      </c>
      <c r="G14" s="61" t="inlineStr">
        <is>
          <t>trauma-informed healing</t>
        </is>
      </c>
      <c r="H14" s="64" t="inlineStr">
        <is>
          <t>$3.99–5.99</t>
        </is>
      </c>
      <c r="I14" s="64" t="inlineStr">
        <is>
          <t>$17.99–24.99</t>
        </is>
      </c>
      <c r="J14" s="81" t="inlineStr">
        <is>
          <t>20%</t>
        </is>
      </c>
      <c r="K14" s="62" t="n">
        <v>90</v>
      </c>
      <c r="L14" s="58" t="inlineStr">
        <is>
          <t>ESTIMATE: 90/brand target, not yet produced</t>
        </is>
      </c>
    </row>
    <row r="15" ht="15" customHeight="1" s="40">
      <c r="B15" s="81" t="inlineStr">
        <is>
          <t>11</t>
        </is>
      </c>
      <c r="C15" s="76" t="inlineStr">
        <is>
          <t>spiritual_ground</t>
        </is>
      </c>
      <c r="D15" s="61" t="inlineStr">
        <is>
          <t>spiritual_seeker</t>
        </is>
      </c>
      <c r="E15" s="81" t="inlineStr">
        <is>
          <t>25-55</t>
        </is>
      </c>
      <c r="F15" s="61" t="inlineStr">
        <is>
          <t>feel connected</t>
        </is>
      </c>
      <c r="G15" s="61" t="inlineStr">
        <is>
          <t>grounded practice</t>
        </is>
      </c>
      <c r="H15" s="64" t="inlineStr">
        <is>
          <t>$3.99–5.99</t>
        </is>
      </c>
      <c r="I15" s="64" t="inlineStr">
        <is>
          <t>$17.99–24.99</t>
        </is>
      </c>
      <c r="J15" s="81" t="inlineStr">
        <is>
          <t>20%</t>
        </is>
      </c>
      <c r="K15" s="62" t="n">
        <v>90</v>
      </c>
      <c r="L15" s="58" t="inlineStr">
        <is>
          <t>ESTIMATE: 90/brand target, not yet produced</t>
        </is>
      </c>
    </row>
    <row r="16" ht="15" customHeight="1" s="40">
      <c r="B16" s="81" t="inlineStr">
        <is>
          <t>12</t>
        </is>
      </c>
      <c r="C16" s="76" t="inlineStr">
        <is>
          <t>focus_sprint</t>
        </is>
      </c>
      <c r="D16" s="61" t="inlineStr">
        <is>
          <t>distracted_worker</t>
        </is>
      </c>
      <c r="E16" s="81" t="inlineStr">
        <is>
          <t>20-38</t>
        </is>
      </c>
      <c r="F16" s="61" t="inlineStr">
        <is>
          <t>stop multitasking</t>
        </is>
      </c>
      <c r="G16" s="61" t="inlineStr">
        <is>
          <t>deep work sessions</t>
        </is>
      </c>
      <c r="H16" s="64" t="inlineStr">
        <is>
          <t>$3.99–5.99</t>
        </is>
      </c>
      <c r="I16" s="64" t="inlineStr">
        <is>
          <t>$17.99–22.99</t>
        </is>
      </c>
      <c r="J16" s="81" t="inlineStr">
        <is>
          <t>20%</t>
        </is>
      </c>
      <c r="K16" s="62" t="n">
        <v>90</v>
      </c>
      <c r="L16" s="58" t="inlineStr">
        <is>
          <t>ESTIMATE: 90/brand target, not yet produced</t>
        </is>
      </c>
    </row>
    <row r="17" ht="15" customHeight="1" s="40">
      <c r="B17" s="81" t="inlineStr">
        <is>
          <t>13</t>
        </is>
      </c>
      <c r="C17" s="76" t="inlineStr">
        <is>
          <t>hormone_reset</t>
        </is>
      </c>
      <c r="D17" s="61" t="inlineStr">
        <is>
          <t>hormonal_imbalance</t>
        </is>
      </c>
      <c r="E17" s="81" t="inlineStr">
        <is>
          <t>28-55</t>
        </is>
      </c>
      <c r="F17" s="61" t="inlineStr">
        <is>
          <t>feel balanced</t>
        </is>
      </c>
      <c r="G17" s="61" t="inlineStr">
        <is>
          <t>hormone-aware regulation</t>
        </is>
      </c>
      <c r="H17" s="64" t="inlineStr">
        <is>
          <t>$3.99–5.99</t>
        </is>
      </c>
      <c r="I17" s="64" t="inlineStr">
        <is>
          <t>$17.99–24.99</t>
        </is>
      </c>
      <c r="J17" s="81" t="inlineStr">
        <is>
          <t>20%</t>
        </is>
      </c>
      <c r="K17" s="62" t="n">
        <v>90</v>
      </c>
      <c r="L17" s="58" t="inlineStr">
        <is>
          <t>ESTIMATE: 90/brand target, not yet produced</t>
        </is>
      </c>
    </row>
    <row r="18" ht="15" customHeight="1" s="40">
      <c r="B18" s="81" t="inlineStr">
        <is>
          <t>14</t>
        </is>
      </c>
      <c r="C18" s="76" t="inlineStr">
        <is>
          <t>stoic_edge</t>
        </is>
      </c>
      <c r="D18" s="61" t="inlineStr">
        <is>
          <t>modern_stoic</t>
        </is>
      </c>
      <c r="E18" s="81" t="inlineStr">
        <is>
          <t>22-45</t>
        </is>
      </c>
      <c r="F18" s="61" t="inlineStr">
        <is>
          <t>inner fortress</t>
        </is>
      </c>
      <c r="G18" s="61" t="inlineStr">
        <is>
          <t>stoic practices</t>
        </is>
      </c>
      <c r="H18" s="64" t="inlineStr">
        <is>
          <t>$3.99–5.99</t>
        </is>
      </c>
      <c r="I18" s="64" t="inlineStr">
        <is>
          <t>$17.99–24.99</t>
        </is>
      </c>
      <c r="J18" s="81" t="inlineStr">
        <is>
          <t>20%</t>
        </is>
      </c>
      <c r="K18" s="62" t="n">
        <v>90</v>
      </c>
      <c r="L18" s="58" t="inlineStr">
        <is>
          <t>ESTIMATE: 90/brand target, not yet produced</t>
        </is>
      </c>
    </row>
    <row r="19" ht="15" customHeight="1" s="40">
      <c r="B19" s="81" t="inlineStr">
        <is>
          <t>15</t>
        </is>
      </c>
      <c r="C19" s="76" t="inlineStr">
        <is>
          <t>calm_student</t>
        </is>
      </c>
      <c r="D19" s="61" t="inlineStr">
        <is>
          <t>anxious_student</t>
        </is>
      </c>
      <c r="E19" s="81" t="inlineStr">
        <is>
          <t>16-25</t>
        </is>
      </c>
      <c r="F19" s="61" t="inlineStr">
        <is>
          <t>stop academic spiraling</t>
        </is>
      </c>
      <c r="G19" s="61" t="inlineStr">
        <is>
          <t>study-time regulation</t>
        </is>
      </c>
      <c r="H19" s="64" t="inlineStr">
        <is>
          <t>$3.99–5.99</t>
        </is>
      </c>
      <c r="I19" s="64" t="inlineStr">
        <is>
          <t>$14.99–19.99</t>
        </is>
      </c>
      <c r="J19" s="81" t="inlineStr">
        <is>
          <t>20%</t>
        </is>
      </c>
      <c r="K19" s="62" t="n">
        <v>90</v>
      </c>
      <c r="L19" s="58" t="inlineStr">
        <is>
          <t>ESTIMATE: 90/brand target, not yet produced</t>
        </is>
      </c>
    </row>
    <row r="20" ht="15" customHeight="1" s="40">
      <c r="B20" s="81" t="inlineStr">
        <is>
          <t>16</t>
        </is>
      </c>
      <c r="C20" s="76" t="inlineStr">
        <is>
          <t>healing_ground</t>
        </is>
      </c>
      <c r="D20" s="61" t="inlineStr">
        <is>
          <t>grief_carrier</t>
        </is>
      </c>
      <c r="E20" s="81" t="inlineStr">
        <is>
          <t>25-65</t>
        </is>
      </c>
      <c r="F20" s="61" t="inlineStr">
        <is>
          <t>permission to grieve</t>
        </is>
      </c>
      <c r="G20" s="61" t="inlineStr">
        <is>
          <t>grief integration</t>
        </is>
      </c>
      <c r="H20" s="64" t="inlineStr">
        <is>
          <t>$3.99–5.99</t>
        </is>
      </c>
      <c r="I20" s="64" t="inlineStr">
        <is>
          <t>$17.99–24.99</t>
        </is>
      </c>
      <c r="J20" s="81" t="inlineStr">
        <is>
          <t>20%</t>
        </is>
      </c>
      <c r="K20" s="62" t="n">
        <v>90</v>
      </c>
      <c r="L20" s="58" t="inlineStr">
        <is>
          <t>ESTIMATE: 90/brand target, not yet produced</t>
        </is>
      </c>
    </row>
    <row r="21" ht="15" customHeight="1" s="40">
      <c r="B21" s="81" t="inlineStr">
        <is>
          <t>17</t>
        </is>
      </c>
      <c r="C21" s="76" t="inlineStr">
        <is>
          <t>bio_flow</t>
        </is>
      </c>
      <c r="D21" s="61" t="inlineStr">
        <is>
          <t>body_optimizer</t>
        </is>
      </c>
      <c r="E21" s="81" t="inlineStr">
        <is>
          <t>25-45</t>
        </is>
      </c>
      <c r="F21" s="61" t="inlineStr">
        <is>
          <t>peak physical state</t>
        </is>
      </c>
      <c r="G21" s="61" t="inlineStr">
        <is>
          <t>biofeedback practices</t>
        </is>
      </c>
      <c r="H21" s="64" t="inlineStr">
        <is>
          <t>$4.99–6.99</t>
        </is>
      </c>
      <c r="I21" s="64" t="inlineStr">
        <is>
          <t>$19.99–26.99</t>
        </is>
      </c>
      <c r="J21" s="81" t="inlineStr">
        <is>
          <t>20%</t>
        </is>
      </c>
      <c r="K21" s="62" t="n">
        <v>90</v>
      </c>
      <c r="L21" s="58" t="inlineStr">
        <is>
          <t>ESTIMATE: 90/brand target, not yet produced</t>
        </is>
      </c>
    </row>
    <row r="22" ht="15" customHeight="1" s="40">
      <c r="B22" s="81" t="inlineStr">
        <is>
          <t>18</t>
        </is>
      </c>
      <c r="C22" s="76" t="inlineStr">
        <is>
          <t>confidence_core</t>
        </is>
      </c>
      <c r="D22" s="61" t="inlineStr">
        <is>
          <t>low_self_worth</t>
        </is>
      </c>
      <c r="E22" s="81" t="inlineStr">
        <is>
          <t>18-40</t>
        </is>
      </c>
      <c r="F22" s="61" t="inlineStr">
        <is>
          <t>believe in self</t>
        </is>
      </c>
      <c r="G22" s="61" t="inlineStr">
        <is>
          <t>confidence building</t>
        </is>
      </c>
      <c r="H22" s="64" t="inlineStr">
        <is>
          <t>$3.99–5.99</t>
        </is>
      </c>
      <c r="I22" s="64" t="inlineStr">
        <is>
          <t>$17.99–24.99</t>
        </is>
      </c>
      <c r="J22" s="81" t="inlineStr">
        <is>
          <t>20%</t>
        </is>
      </c>
      <c r="K22" s="62" t="n">
        <v>90</v>
      </c>
      <c r="L22" s="58" t="inlineStr">
        <is>
          <t>ESTIMATE: 90/brand target, not yet produced</t>
        </is>
      </c>
    </row>
    <row r="23" ht="15" customHeight="1" s="40">
      <c r="B23" s="81" t="inlineStr">
        <is>
          <t>19</t>
        </is>
      </c>
      <c r="C23" s="76" t="inlineStr">
        <is>
          <t>relationship_clarity</t>
        </is>
      </c>
      <c r="D23" s="61" t="inlineStr">
        <is>
          <t>relationship_confused</t>
        </is>
      </c>
      <c r="E23" s="81" t="inlineStr">
        <is>
          <t>22-45</t>
        </is>
      </c>
      <c r="F23" s="61" t="inlineStr">
        <is>
          <t>see clearly</t>
        </is>
      </c>
      <c r="G23" s="61" t="inlineStr">
        <is>
          <t>relational repair</t>
        </is>
      </c>
      <c r="H23" s="64" t="inlineStr">
        <is>
          <t>$3.99–5.99</t>
        </is>
      </c>
      <c r="I23" s="64" t="inlineStr">
        <is>
          <t>$17.99–24.99</t>
        </is>
      </c>
      <c r="J23" s="81" t="inlineStr">
        <is>
          <t>20%</t>
        </is>
      </c>
      <c r="K23" s="62" t="n">
        <v>90</v>
      </c>
      <c r="L23" s="58" t="inlineStr">
        <is>
          <t>ESTIMATE: 90/brand target, not yet produced</t>
        </is>
      </c>
    </row>
    <row r="24" ht="15" customHeight="1" s="40">
      <c r="B24" s="81" t="inlineStr">
        <is>
          <t>20</t>
        </is>
      </c>
      <c r="C24" s="76" t="inlineStr">
        <is>
          <t>morning_momentum</t>
        </is>
      </c>
      <c r="D24" s="61" t="inlineStr">
        <is>
          <t>sluggish_starter</t>
        </is>
      </c>
      <c r="E24" s="81" t="inlineStr">
        <is>
          <t>22-45</t>
        </is>
      </c>
      <c r="F24" s="61" t="inlineStr">
        <is>
          <t>own the morning</t>
        </is>
      </c>
      <c r="G24" s="61" t="inlineStr">
        <is>
          <t>morning activation</t>
        </is>
      </c>
      <c r="H24" s="64" t="inlineStr">
        <is>
          <t>$3.99–5.99</t>
        </is>
      </c>
      <c r="I24" s="64" t="inlineStr">
        <is>
          <t>$17.99–22.99</t>
        </is>
      </c>
      <c r="J24" s="81" t="inlineStr">
        <is>
          <t>20%</t>
        </is>
      </c>
      <c r="K24" s="62" t="n">
        <v>90</v>
      </c>
      <c r="L24" s="58" t="inlineStr">
        <is>
          <t>ESTIMATE: 90/brand target, not yet produced</t>
        </is>
      </c>
    </row>
    <row r="25" ht="15" customHeight="1" s="40">
      <c r="B25" s="81" t="inlineStr">
        <is>
          <t>21</t>
        </is>
      </c>
      <c r="C25" s="76" t="inlineStr">
        <is>
          <t>minimal_mind</t>
        </is>
      </c>
      <c r="D25" s="61" t="inlineStr">
        <is>
          <t>overthinking_minimalist</t>
        </is>
      </c>
      <c r="E25" s="81" t="inlineStr">
        <is>
          <t>25-45</t>
        </is>
      </c>
      <c r="F25" s="61" t="inlineStr">
        <is>
          <t>quiet the noise</t>
        </is>
      </c>
      <c r="G25" s="61" t="inlineStr">
        <is>
          <t>mental decluttering</t>
        </is>
      </c>
      <c r="H25" s="64" t="inlineStr">
        <is>
          <t>$3.99–5.99</t>
        </is>
      </c>
      <c r="I25" s="64" t="inlineStr">
        <is>
          <t>$17.99–22.99</t>
        </is>
      </c>
      <c r="J25" s="81" t="inlineStr">
        <is>
          <t>20%</t>
        </is>
      </c>
      <c r="K25" s="62" t="n">
        <v>90</v>
      </c>
      <c r="L25" s="58" t="inlineStr">
        <is>
          <t>ESTIMATE: 90/brand target, not yet produced</t>
        </is>
      </c>
    </row>
    <row r="26" ht="15" customHeight="1" s="40">
      <c r="B26" s="81" t="inlineStr">
        <is>
          <t>22</t>
        </is>
      </c>
      <c r="C26" s="76" t="inlineStr">
        <is>
          <t>high_performer</t>
        </is>
      </c>
      <c r="D26" s="61" t="inlineStr">
        <is>
          <t>elite_achiever</t>
        </is>
      </c>
      <c r="E26" s="81" t="inlineStr">
        <is>
          <t>25-50</t>
        </is>
      </c>
      <c r="F26" s="61" t="inlineStr">
        <is>
          <t>sustainable performance</t>
        </is>
      </c>
      <c r="G26" s="61" t="inlineStr">
        <is>
          <t>peak without crash</t>
        </is>
      </c>
      <c r="H26" s="64" t="inlineStr">
        <is>
          <t>$4.99–6.99</t>
        </is>
      </c>
      <c r="I26" s="64" t="inlineStr">
        <is>
          <t>$19.99–27.99</t>
        </is>
      </c>
      <c r="J26" s="81" t="inlineStr">
        <is>
          <t>20%</t>
        </is>
      </c>
      <c r="K26" s="62" t="n">
        <v>90</v>
      </c>
      <c r="L26" s="58" t="inlineStr">
        <is>
          <t>ESTIMATE: 90/brand target, not yet produced</t>
        </is>
      </c>
    </row>
    <row r="27" ht="15" customHeight="1" s="40">
      <c r="B27" s="81" t="inlineStr">
        <is>
          <t>23</t>
        </is>
      </c>
      <c r="C27" s="76" t="inlineStr">
        <is>
          <t>gentle_growth</t>
        </is>
      </c>
      <c r="D27" s="61" t="inlineStr">
        <is>
          <t>slow_bloomer</t>
        </is>
      </c>
      <c r="E27" s="81" t="inlineStr">
        <is>
          <t>20-40</t>
        </is>
      </c>
      <c r="F27" s="61" t="inlineStr">
        <is>
          <t>growth without force</t>
        </is>
      </c>
      <c r="G27" s="61" t="inlineStr">
        <is>
          <t>gentle transformation</t>
        </is>
      </c>
      <c r="H27" s="64" t="inlineStr">
        <is>
          <t>$3.99–5.99</t>
        </is>
      </c>
      <c r="I27" s="64" t="inlineStr">
        <is>
          <t>$14.99–22.99</t>
        </is>
      </c>
      <c r="J27" s="81" t="inlineStr">
        <is>
          <t>20%</t>
        </is>
      </c>
      <c r="K27" s="62" t="n">
        <v>90</v>
      </c>
      <c r="L27" s="58" t="inlineStr">
        <is>
          <t>ESTIMATE: 90/brand target, not yet produced</t>
        </is>
      </c>
    </row>
    <row r="28" ht="15" customHeight="1" s="40">
      <c r="B28" s="81" t="inlineStr">
        <is>
          <t>24</t>
        </is>
      </c>
      <c r="C28" s="76" t="inlineStr">
        <is>
          <t>legacy_builder</t>
        </is>
      </c>
      <c r="D28" s="61" t="inlineStr">
        <is>
          <t>wisdom_keeper</t>
        </is>
      </c>
      <c r="E28" s="81" t="inlineStr">
        <is>
          <t>45-70</t>
        </is>
      </c>
      <c r="F28" s="61" t="inlineStr">
        <is>
          <t>leave something real</t>
        </is>
      </c>
      <c r="G28" s="61" t="inlineStr">
        <is>
          <t>legacy integration</t>
        </is>
      </c>
      <c r="H28" s="64" t="inlineStr">
        <is>
          <t>$4.99–6.99</t>
        </is>
      </c>
      <c r="I28" s="64" t="inlineStr">
        <is>
          <t>$19.99–27.99</t>
        </is>
      </c>
      <c r="J28" s="81" t="inlineStr">
        <is>
          <t>20%</t>
        </is>
      </c>
      <c r="K28" s="62" t="n">
        <v>90</v>
      </c>
      <c r="L28" s="58" t="inlineStr">
        <is>
          <t>ESTIMATE: 90/brand target, not yet produced</t>
        </is>
      </c>
    </row>
    <row r="30" ht="15" customHeight="1" s="40">
      <c r="B30" s="76" t="inlineStr">
        <is>
          <t>TOTAL</t>
        </is>
      </c>
      <c r="K30" s="82">
        <f>SUM(K5:K28)</f>
        <v/>
      </c>
      <c r="L30" s="58" t="inlineStr">
        <is>
          <t>ESTIMATE: 24×90 target total</t>
        </is>
      </c>
    </row>
  </sheetData>
  <autoFilter ref="B4:L30"/>
  <mergeCells count="1">
    <mergeCell ref="B2:K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I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52" min="1" max="1"/>
    <col width="20" customWidth="1" style="52" min="2" max="2"/>
    <col width="10" customWidth="1" style="52" min="3" max="4"/>
    <col width="16" customWidth="1" style="52" min="5" max="7"/>
    <col width="38" customWidth="1" style="52" min="8" max="8"/>
    <col width="38" customWidth="1" style="40" min="9" max="9"/>
  </cols>
  <sheetData>
    <row r="2" ht="17.35" customHeight="1" s="40">
      <c r="B2" s="71" t="inlineStr">
        <is>
          <t>REVENUE BY BRAND CLUSTER — MONTHLY STEADY-STATE</t>
        </is>
      </c>
    </row>
    <row r="4" ht="15" customHeight="1" s="40">
      <c r="B4" s="72" t="inlineStr">
        <is>
          <t>Cluster</t>
        </is>
      </c>
      <c r="C4" s="72" t="inlineStr">
        <is>
          <t>Brands</t>
        </is>
      </c>
      <c r="D4" s="72" t="inlineStr">
        <is>
          <t>Books</t>
        </is>
      </c>
      <c r="E4" s="72" t="inlineStr">
        <is>
          <t>GP Revenue ($)</t>
        </is>
      </c>
      <c r="F4" s="72" t="inlineStr">
        <is>
          <t>INaudio ($)</t>
        </is>
      </c>
      <c r="G4" s="72" t="inlineStr">
        <is>
          <t>Total ($)</t>
        </is>
      </c>
      <c r="H4" s="72" t="inlineStr">
        <is>
          <t>% of Total</t>
        </is>
      </c>
      <c r="I4" s="43" t="inlineStr">
        <is>
          <t>DATA SOURCE</t>
        </is>
      </c>
    </row>
    <row r="5" ht="15" customHeight="1" s="40">
      <c r="B5" s="76" t="inlineStr">
        <is>
          <t>Nervous System</t>
        </is>
      </c>
      <c r="C5" s="62" t="n">
        <v>9</v>
      </c>
      <c r="D5" s="62" t="n">
        <v>378</v>
      </c>
      <c r="E5" s="65" t="n">
        <v>2700</v>
      </c>
      <c r="F5" s="65" t="n">
        <v>1800</v>
      </c>
      <c r="G5" s="66">
        <f>E5+F5</f>
        <v/>
      </c>
      <c r="H5" s="83" t="n">
        <v>0.42</v>
      </c>
      <c r="I5" s="67" t="inlineStr">
        <is>
          <t>MIXED: counts repo-backed; revenue ASSUMPTION</t>
        </is>
      </c>
    </row>
    <row r="6" ht="15" customHeight="1" s="40">
      <c r="B6" s="76" t="inlineStr">
        <is>
          <t>Productivity</t>
        </is>
      </c>
      <c r="C6" s="62" t="n">
        <v>6</v>
      </c>
      <c r="D6" s="62" t="n">
        <v>252</v>
      </c>
      <c r="E6" s="65" t="n">
        <v>1560</v>
      </c>
      <c r="F6" s="65" t="n">
        <v>1020</v>
      </c>
      <c r="G6" s="66">
        <f>E6+F6</f>
        <v/>
      </c>
      <c r="H6" s="83" t="n">
        <v>0.24</v>
      </c>
      <c r="I6" s="67" t="inlineStr">
        <is>
          <t>MIXED: counts repo-backed; revenue ASSUMPTION</t>
        </is>
      </c>
    </row>
    <row r="7" ht="15" customHeight="1" s="40">
      <c r="B7" s="76" t="inlineStr">
        <is>
          <t>Vitality</t>
        </is>
      </c>
      <c r="C7" s="62" t="n">
        <v>3</v>
      </c>
      <c r="D7" s="62" t="n">
        <v>126</v>
      </c>
      <c r="E7" s="65" t="n">
        <v>660</v>
      </c>
      <c r="F7" s="65" t="n">
        <v>420</v>
      </c>
      <c r="G7" s="66">
        <f>E7+F7</f>
        <v/>
      </c>
      <c r="H7" s="83" t="n">
        <v>0.1</v>
      </c>
      <c r="I7" s="67" t="inlineStr">
        <is>
          <t>MIXED: counts repo-backed; revenue ASSUMPTION</t>
        </is>
      </c>
    </row>
    <row r="8" ht="15" customHeight="1" s="40">
      <c r="B8" s="76" t="inlineStr">
        <is>
          <t>Relationships</t>
        </is>
      </c>
      <c r="C8" s="62" t="n">
        <v>3</v>
      </c>
      <c r="D8" s="62" t="n">
        <v>126</v>
      </c>
      <c r="E8" s="65" t="n">
        <v>600</v>
      </c>
      <c r="F8" s="65" t="n">
        <v>390</v>
      </c>
      <c r="G8" s="66">
        <f>E8+F8</f>
        <v/>
      </c>
      <c r="H8" s="83" t="n">
        <v>0.09</v>
      </c>
      <c r="I8" s="67" t="inlineStr">
        <is>
          <t>MIXED: counts repo-backed; revenue ASSUMPTION</t>
        </is>
      </c>
    </row>
    <row r="9" ht="15" customHeight="1" s="40">
      <c r="B9" s="76" t="inlineStr">
        <is>
          <t>Identity</t>
        </is>
      </c>
      <c r="C9" s="62" t="n">
        <v>2</v>
      </c>
      <c r="D9" s="62" t="n">
        <v>84</v>
      </c>
      <c r="E9" s="65" t="n">
        <v>380</v>
      </c>
      <c r="F9" s="65" t="n">
        <v>240</v>
      </c>
      <c r="G9" s="66">
        <f>E9+F9</f>
        <v/>
      </c>
      <c r="H9" s="83" t="n">
        <v>0.06</v>
      </c>
      <c r="I9" s="67" t="inlineStr">
        <is>
          <t>MIXED: counts repo-backed; revenue ASSUMPTION</t>
        </is>
      </c>
    </row>
    <row r="10" ht="15" customHeight="1" s="40">
      <c r="B10" s="76" t="inlineStr">
        <is>
          <t>Gen Z</t>
        </is>
      </c>
      <c r="C10" s="62" t="n">
        <v>1</v>
      </c>
      <c r="D10" s="62" t="n">
        <v>42</v>
      </c>
      <c r="E10" s="65" t="n">
        <v>240</v>
      </c>
      <c r="F10" s="65" t="n">
        <v>180</v>
      </c>
      <c r="G10" s="66">
        <f>E10+F10</f>
        <v/>
      </c>
      <c r="H10" s="83" t="n">
        <v>0.04</v>
      </c>
      <c r="I10" s="67" t="inlineStr">
        <is>
          <t>MIXED: counts repo-backed; revenue ASSUMPTION</t>
        </is>
      </c>
    </row>
    <row r="11" ht="15" customHeight="1" s="40">
      <c r="B11" s="76" t="inlineStr">
        <is>
          <t>Wisdom</t>
        </is>
      </c>
      <c r="C11" s="62" t="n">
        <v>1</v>
      </c>
      <c r="D11" s="62" t="n">
        <v>42</v>
      </c>
      <c r="E11" s="65" t="n">
        <v>260</v>
      </c>
      <c r="F11" s="65" t="n">
        <v>170</v>
      </c>
      <c r="G11" s="66">
        <f>E11+F11</f>
        <v/>
      </c>
      <c r="H11" s="83" t="n">
        <v>0.04</v>
      </c>
      <c r="I11" s="67" t="inlineStr">
        <is>
          <t>MIXED: counts repo-backed; revenue ASSUMPTION</t>
        </is>
      </c>
    </row>
    <row r="13" ht="15" customHeight="1" s="40">
      <c r="B13" s="76" t="inlineStr">
        <is>
          <t>TOTAL</t>
        </is>
      </c>
      <c r="C13" s="82">
        <f>SUM(C5:C11)</f>
        <v/>
      </c>
      <c r="D13" s="82">
        <f>SUM(D5:D11)</f>
        <v/>
      </c>
      <c r="E13" s="77">
        <f>SUM(E5:E11)</f>
        <v/>
      </c>
      <c r="F13" s="77">
        <f>SUM(F5:F11)</f>
        <v/>
      </c>
      <c r="G13" s="77">
        <f>SUM(G5:G11)</f>
        <v/>
      </c>
      <c r="I13" s="67" t="inlineStr">
        <is>
          <t>ASSUMPTION: pre-revenue totals</t>
        </is>
      </c>
    </row>
  </sheetData>
  <mergeCells count="1">
    <mergeCell ref="B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2:H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52" min="1" max="1"/>
    <col width="22" customWidth="1" style="52" min="2" max="2"/>
    <col width="20" customWidth="1" style="52" min="3" max="3"/>
    <col width="16" customWidth="1" style="52" min="4" max="4"/>
    <col width="12" customWidth="1" style="52" min="5" max="5"/>
    <col width="14" customWidth="1" style="52" min="6" max="6"/>
    <col width="16" customWidth="1" style="52" min="7" max="7"/>
    <col width="38" customWidth="1" style="40" min="8" max="8"/>
  </cols>
  <sheetData>
    <row r="2" ht="17.35" customHeight="1" s="40">
      <c r="B2" s="71" t="inlineStr">
        <is>
          <t>PROJECTED TOP PERFORMING BRANDS — STEADY-STATE</t>
        </is>
      </c>
    </row>
    <row r="4" ht="26.85" customHeight="1" s="40">
      <c r="B4" s="72" t="inlineStr">
        <is>
          <t>Brand</t>
        </is>
      </c>
      <c r="C4" s="72" t="inlineStr">
        <is>
          <t>Cluster</t>
        </is>
      </c>
      <c r="D4" s="72" t="inlineStr">
        <is>
          <t>Monthly Rev ($)</t>
        </is>
      </c>
      <c r="E4" s="72" t="inlineStr">
        <is>
          <t>Est. CR</t>
        </is>
      </c>
      <c r="F4" s="72" t="inlineStr">
        <is>
          <t>Completion %</t>
        </is>
      </c>
      <c r="G4" s="72" t="inlineStr">
        <is>
          <t>Decision</t>
        </is>
      </c>
      <c r="H4" s="43" t="inlineStr">
        <is>
          <t>DATA SOURCE</t>
        </is>
      </c>
    </row>
    <row r="5" ht="15" customHeight="1" s="40">
      <c r="B5" s="76" t="inlineStr">
        <is>
          <t>stabilizer</t>
        </is>
      </c>
      <c r="C5" s="61" t="inlineStr">
        <is>
          <t>Nervous System</t>
        </is>
      </c>
      <c r="D5" s="65" t="n">
        <v>520</v>
      </c>
      <c r="E5" s="84" t="n">
        <v>0.028</v>
      </c>
      <c r="F5" s="84" t="n">
        <v>0.68</v>
      </c>
      <c r="G5" s="85" t="inlineStr">
        <is>
          <t>DOUBLE DOWN</t>
        </is>
      </c>
      <c r="H5" s="67" t="inlineStr">
        <is>
          <t>ASSUMPTION: pre-revenue projection</t>
        </is>
      </c>
    </row>
    <row r="6" ht="15" customHeight="1" s="40">
      <c r="B6" s="76" t="inlineStr">
        <is>
          <t>panic_first_aid</t>
        </is>
      </c>
      <c r="C6" s="61" t="inlineStr">
        <is>
          <t>Nervous System</t>
        </is>
      </c>
      <c r="D6" s="65" t="n">
        <v>480</v>
      </c>
      <c r="E6" s="84" t="n">
        <v>0.031</v>
      </c>
      <c r="F6" s="84" t="n">
        <v>0.72</v>
      </c>
      <c r="G6" s="85" t="inlineStr">
        <is>
          <t>DOUBLE DOWN</t>
        </is>
      </c>
      <c r="H6" s="67" t="inlineStr">
        <is>
          <t>ASSUMPTION: pre-revenue projection</t>
        </is>
      </c>
    </row>
    <row r="7" ht="15" customHeight="1" s="40">
      <c r="B7" s="76" t="inlineStr">
        <is>
          <t>adhd_anchor</t>
        </is>
      </c>
      <c r="C7" s="61" t="inlineStr">
        <is>
          <t>Productivity</t>
        </is>
      </c>
      <c r="D7" s="65" t="n">
        <v>440</v>
      </c>
      <c r="E7" s="84" t="n">
        <v>0.026</v>
      </c>
      <c r="F7" s="84" t="n">
        <v>0.61</v>
      </c>
      <c r="G7" s="85" t="inlineStr">
        <is>
          <t>DOUBLE DOWN</t>
        </is>
      </c>
      <c r="H7" s="67" t="inlineStr">
        <is>
          <t>ASSUMPTION: pre-revenue projection</t>
        </is>
      </c>
    </row>
    <row r="8" ht="15" customHeight="1" s="40">
      <c r="B8" s="76" t="inlineStr">
        <is>
          <t>sleep_repair</t>
        </is>
      </c>
      <c r="C8" s="61" t="inlineStr">
        <is>
          <t>Nervous System</t>
        </is>
      </c>
      <c r="D8" s="65" t="n">
        <v>410</v>
      </c>
      <c r="E8" s="84" t="n">
        <v>0.024</v>
      </c>
      <c r="F8" s="84" t="n">
        <v>0.74</v>
      </c>
      <c r="G8" s="86" t="inlineStr">
        <is>
          <t>MONITOR</t>
        </is>
      </c>
      <c r="H8" s="67" t="inlineStr">
        <is>
          <t>ASSUMPTION: pre-revenue projection</t>
        </is>
      </c>
    </row>
    <row r="9" ht="15" customHeight="1" s="40">
      <c r="B9" s="76" t="inlineStr">
        <is>
          <t>breathwork_lab</t>
        </is>
      </c>
      <c r="C9" s="61" t="inlineStr">
        <is>
          <t>Nervous System</t>
        </is>
      </c>
      <c r="D9" s="65" t="n">
        <v>390</v>
      </c>
      <c r="E9" s="84" t="n">
        <v>0.025</v>
      </c>
      <c r="F9" s="84" t="n">
        <v>0.7</v>
      </c>
      <c r="G9" s="86" t="inlineStr">
        <is>
          <t>MONITOR</t>
        </is>
      </c>
      <c r="H9" s="67" t="inlineStr">
        <is>
          <t>ASSUMPTION: pre-revenue projection</t>
        </is>
      </c>
    </row>
    <row r="10" ht="15" customHeight="1" s="40">
      <c r="B10" s="76" t="inlineStr">
        <is>
          <t>dopamine_balance</t>
        </is>
      </c>
      <c r="C10" s="61" t="inlineStr">
        <is>
          <t>Productivity</t>
        </is>
      </c>
      <c r="D10" s="65" t="n">
        <v>360</v>
      </c>
      <c r="E10" s="84" t="n">
        <v>0.023</v>
      </c>
      <c r="F10" s="84" t="n">
        <v>0.58</v>
      </c>
      <c r="G10" s="86" t="inlineStr">
        <is>
          <t>MONITOR</t>
        </is>
      </c>
      <c r="H10" s="67" t="inlineStr">
        <is>
          <t>ASSUMPTION: pre-revenue projection</t>
        </is>
      </c>
    </row>
    <row r="11" ht="15" customHeight="1" s="40">
      <c r="B11" s="76" t="inlineStr">
        <is>
          <t>focus_forge</t>
        </is>
      </c>
      <c r="C11" s="61" t="inlineStr">
        <is>
          <t>Productivity</t>
        </is>
      </c>
      <c r="D11" s="65" t="n">
        <v>340</v>
      </c>
      <c r="E11" s="84" t="n">
        <v>0.022</v>
      </c>
      <c r="F11" s="84" t="n">
        <v>0.55</v>
      </c>
      <c r="G11" s="86" t="inlineStr">
        <is>
          <t>MONITOR</t>
        </is>
      </c>
      <c r="H11" s="67" t="inlineStr">
        <is>
          <t>ASSUMPTION: pre-revenue projection</t>
        </is>
      </c>
    </row>
    <row r="12" ht="15" customHeight="1" s="40">
      <c r="B12" s="76" t="inlineStr">
        <is>
          <t>somatic_reset</t>
        </is>
      </c>
      <c r="C12" s="61" t="inlineStr">
        <is>
          <t>Nervous System</t>
        </is>
      </c>
      <c r="D12" s="65" t="n">
        <v>320</v>
      </c>
      <c r="E12" s="84" t="n">
        <v>0.021</v>
      </c>
      <c r="F12" s="84" t="n">
        <v>0.65</v>
      </c>
      <c r="G12" s="86" t="inlineStr">
        <is>
          <t>MONITOR</t>
        </is>
      </c>
      <c r="H12" s="67" t="inlineStr">
        <is>
          <t>ASSUMPTION: pre-revenue projection</t>
        </is>
      </c>
    </row>
    <row r="15" ht="15" customHeight="1" s="40">
      <c r="B15" s="75" t="inlineStr">
        <is>
          <t>PORTFOLIO DECISION FRAMEWORK (90-DAY)</t>
        </is>
      </c>
    </row>
    <row r="16" ht="15" customHeight="1" s="40">
      <c r="B16" s="76" t="inlineStr">
        <is>
          <t>DOUBLE DOWN (5-6 brands)</t>
        </is>
      </c>
      <c r="C16" s="61" t="inlineStr">
        <is>
          <t>CR &gt;3%, Completion &gt;55%, Review velocity positive → Expand catalog to 80+ titles</t>
        </is>
      </c>
      <c r="D16" s="87" t="n"/>
      <c r="E16" s="87" t="n"/>
      <c r="F16" s="87" t="n"/>
      <c r="G16" s="88" t="n"/>
    </row>
    <row r="17" ht="15" customHeight="1" s="40">
      <c r="B17" s="76" t="inlineStr">
        <is>
          <t>MONITOR (10-12 brands)</t>
        </is>
      </c>
      <c r="C17" s="61" t="inlineStr">
        <is>
          <t>CR 1.5–3%, mixed signals → Test title variations, pricing adjustments, cover art refresh</t>
        </is>
      </c>
      <c r="D17" s="87" t="n"/>
      <c r="E17" s="87" t="n"/>
      <c r="F17" s="87" t="n"/>
      <c r="G17" s="88" t="n"/>
    </row>
    <row r="18" ht="15" customHeight="1" s="40">
      <c r="B18" s="76" t="inlineStr">
        <is>
          <t>KILL (6-8 brands)</t>
        </is>
      </c>
      <c r="C18" s="61" t="inlineStr">
        <is>
          <t>CR &lt;1.5%, Completion &lt;35%, zero reviews → Freeze catalog, reallocate to winners</t>
        </is>
      </c>
      <c r="D18" s="87" t="n"/>
      <c r="E18" s="87" t="n"/>
      <c r="F18" s="87" t="n"/>
      <c r="G18" s="88" t="n"/>
    </row>
  </sheetData>
  <mergeCells count="5">
    <mergeCell ref="B2:G2"/>
    <mergeCell ref="C16:G16"/>
    <mergeCell ref="C18:G18"/>
    <mergeCell ref="B15:G15"/>
    <mergeCell ref="C17:G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2:G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52" min="1" max="1"/>
    <col width="25" customWidth="1" style="52" min="2" max="2"/>
    <col width="16" customWidth="1" style="52" min="3" max="5"/>
    <col width="30" customWidth="1" style="52" min="6" max="6"/>
    <col width="42" customWidth="1" style="40" min="7" max="7"/>
  </cols>
  <sheetData>
    <row r="2" ht="17.35" customHeight="1" s="40">
      <c r="B2" s="71" t="inlineStr">
        <is>
          <t>PLATFORM DISTRIBUTION STRATEGY</t>
        </is>
      </c>
    </row>
    <row r="4" ht="15" customHeight="1" s="40">
      <c r="B4" s="72" t="inlineStr">
        <is>
          <t>Platform</t>
        </is>
      </c>
      <c r="C4" s="72" t="inlineStr">
        <is>
          <t>Rev Share</t>
        </is>
      </c>
      <c r="D4" s="72" t="inlineStr">
        <is>
          <t>% of Total Rev</t>
        </is>
      </c>
      <c r="E4" s="72" t="inlineStr">
        <is>
          <t>Role</t>
        </is>
      </c>
      <c r="F4" s="72" t="inlineStr">
        <is>
          <t>Notes</t>
        </is>
      </c>
      <c r="G4" s="43" t="inlineStr">
        <is>
          <t>DATA SOURCE</t>
        </is>
      </c>
    </row>
    <row r="5" ht="15" customHeight="1" s="40">
      <c r="B5" s="76" t="inlineStr">
        <is>
          <t>Google Play Books</t>
        </is>
      </c>
      <c r="C5" s="64" t="inlineStr">
        <is>
          <t>70% publisher</t>
        </is>
      </c>
      <c r="D5" s="62" t="inlineStr">
        <is>
          <t>62%</t>
        </is>
      </c>
      <c r="E5" s="61" t="inlineStr">
        <is>
          <t>Primary revenue + discovery</t>
        </is>
      </c>
      <c r="F5" s="61" t="inlineStr">
        <is>
          <t>Direct search→purchase, auto-narration, $0 production cost</t>
        </is>
      </c>
      <c r="G5" s="67" t="inlineStr">
        <is>
          <t>MIXED: rev share EXTERNAL; % split ASSUMPTION</t>
        </is>
      </c>
    </row>
    <row r="6" ht="15" customHeight="1" s="40">
      <c r="B6" s="76" t="inlineStr">
        <is>
          <t>Apple Books</t>
        </is>
      </c>
      <c r="C6" s="64" t="inlineStr">
        <is>
          <t>70% publisher</t>
        </is>
      </c>
      <c r="D6" s="62" t="inlineStr">
        <is>
          <t>~8%</t>
        </is>
      </c>
      <c r="E6" s="61" t="inlineStr">
        <is>
          <t>Premium tier</t>
        </is>
      </c>
      <c r="F6" s="61" t="inlineStr">
        <is>
          <t>Via INaudio distribution</t>
        </is>
      </c>
      <c r="G6" s="67" t="inlineStr">
        <is>
          <t>MIXED: rev share EXTERNAL; % split ASSUMPTION</t>
        </is>
      </c>
    </row>
    <row r="7" ht="15" customHeight="1" s="40">
      <c r="B7" s="76" t="inlineStr">
        <is>
          <t>Spotify</t>
        </is>
      </c>
      <c r="C7" s="64" t="inlineStr">
        <is>
          <t>Pool-based</t>
        </is>
      </c>
      <c r="D7" s="62" t="inlineStr">
        <is>
          <t>~8%</t>
        </is>
      </c>
      <c r="E7" s="61" t="inlineStr">
        <is>
          <t>Discovery + streaming</t>
        </is>
      </c>
      <c r="F7" s="61" t="inlineStr">
        <is>
          <t>$0.005–$0.02/min listen</t>
        </is>
      </c>
      <c r="G7" s="58" t="inlineStr">
        <is>
          <t>ESTIMATE: Spotify pool rates approximate</t>
        </is>
      </c>
    </row>
    <row r="8" ht="15" customHeight="1" s="40">
      <c r="B8" s="76" t="inlineStr">
        <is>
          <t>Libraries (OverDrive)</t>
        </is>
      </c>
      <c r="C8" s="64" t="inlineStr">
        <is>
          <t>$1.50–4.00/checkout</t>
        </is>
      </c>
      <c r="D8" s="62" t="inlineStr">
        <is>
          <t>~7%</t>
        </is>
      </c>
      <c r="E8" s="61" t="inlineStr">
        <is>
          <t>Steady baseline</t>
        </is>
      </c>
      <c r="F8" s="61" t="inlineStr">
        <is>
          <t>Consistent checkout revenue via INaudio</t>
        </is>
      </c>
      <c r="G8" s="58" t="inlineStr">
        <is>
          <t>ESTIMATE: library rates approximate</t>
        </is>
      </c>
    </row>
    <row r="9" ht="15" customHeight="1" s="40">
      <c r="B9" s="76" t="inlineStr">
        <is>
          <t>Kobo</t>
        </is>
      </c>
      <c r="C9" s="64" t="inlineStr">
        <is>
          <t>70% publisher</t>
        </is>
      </c>
      <c r="D9" s="62" t="inlineStr">
        <is>
          <t>~6%</t>
        </is>
      </c>
      <c r="E9" s="61" t="inlineStr">
        <is>
          <t>International reach</t>
        </is>
      </c>
      <c r="F9" s="61" t="inlineStr">
        <is>
          <t>Strong in Canada, EU via INaudio</t>
        </is>
      </c>
      <c r="G9" s="67" t="inlineStr">
        <is>
          <t>MIXED: rev share EXTERNAL; % split ASSUMPTION</t>
        </is>
      </c>
    </row>
    <row r="10" ht="15" customHeight="1" s="40">
      <c r="B10" s="76" t="inlineStr">
        <is>
          <t>Chirp / Other</t>
        </is>
      </c>
      <c r="C10" s="64" t="inlineStr">
        <is>
          <t>Varies</t>
        </is>
      </c>
      <c r="D10" s="62" t="inlineStr">
        <is>
          <t>~9%</t>
        </is>
      </c>
      <c r="E10" s="61" t="inlineStr">
        <is>
          <t>Discount discovery</t>
        </is>
      </c>
      <c r="F10" s="61" t="inlineStr">
        <is>
          <t>Chirp deals, Scribd, smaller retailers</t>
        </is>
      </c>
      <c r="G10" s="58" t="inlineStr">
        <is>
          <t>ESTIMATE: varies by retailer</t>
        </is>
      </c>
    </row>
  </sheetData>
  <mergeCells count="1">
    <mergeCell ref="B2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2:D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52" min="1" max="1"/>
    <col width="30" customWidth="1" style="52" min="2" max="2"/>
    <col width="40" customWidth="1" style="52" min="3" max="3"/>
    <col width="42" customWidth="1" style="40" min="4" max="4"/>
  </cols>
  <sheetData>
    <row r="2" ht="17.35" customHeight="1" s="40">
      <c r="B2" s="71" t="inlineStr">
        <is>
          <t>INTELLECTUAL PROPERTY &amp; TECHNOLOGY STACK</t>
        </is>
      </c>
    </row>
    <row r="4" ht="15" customHeight="1" s="40">
      <c r="B4" s="55" t="inlineStr">
        <is>
          <t>ENLIGHTENED INTELLIGENCE (EI) V2</t>
        </is>
      </c>
      <c r="D4" s="43" t="inlineStr">
        <is>
          <t>DATA SOURCE</t>
        </is>
      </c>
    </row>
    <row r="5" ht="15" customHeight="1" s="40">
      <c r="B5" s="76" t="inlineStr">
        <is>
          <t>Core</t>
        </is>
      </c>
      <c r="C5" s="61" t="inlineStr">
        <is>
          <t>Composite of 13 teachers' wisdom → spiritual + mental + somatic heuristics → genetic algorithms + ML</t>
        </is>
      </c>
      <c r="D5" s="44" t="inlineStr">
        <is>
          <t>REPO-BACKED: phoenix_v4/quality/ei_v2/</t>
        </is>
      </c>
    </row>
    <row r="6" ht="15" customHeight="1" s="40">
      <c r="B6" s="76" t="inlineStr">
        <is>
          <t>Safety Classifier</t>
        </is>
      </c>
      <c r="C6" s="61" t="inlineStr">
        <is>
          <t>Every content piece scored for medical claims, promotional language, clinical safety</t>
        </is>
      </c>
      <c r="D6" s="44" t="inlineStr">
        <is>
          <t>REPO-BACKED: phoenix_v4/quality/ei_v2/</t>
        </is>
      </c>
    </row>
    <row r="7" ht="15" customHeight="1" s="40">
      <c r="B7" s="76" t="inlineStr">
        <is>
          <t>Cross-Encoder</t>
        </is>
      </c>
      <c r="C7" s="61" t="inlineStr">
        <is>
          <t>Multi-candidate reranking by relevance to book thesis, persona, topic</t>
        </is>
      </c>
      <c r="D7" s="44" t="inlineStr">
        <is>
          <t>REPO-BACKED: phoenix_v4/quality/ei_v2/</t>
        </is>
      </c>
    </row>
    <row r="8" ht="15" customHeight="1" s="40">
      <c r="B8" s="76" t="inlineStr">
        <is>
          <t>Domain Embeddings</t>
        </is>
      </c>
      <c r="C8" s="61" t="inlineStr">
        <is>
          <t>Weighted scoring: persona affinity (0.3), topic coherence (0.3), thesis alignment (0.4)</t>
        </is>
      </c>
      <c r="D8" s="44" t="inlineStr">
        <is>
          <t>REPO-BACKED: phoenix_v4/quality/ei_v2/</t>
        </is>
      </c>
    </row>
    <row r="9" ht="15" customHeight="1" s="40">
      <c r="B9" s="76" t="inlineStr">
        <is>
          <t>Emotion Arc</t>
        </is>
      </c>
      <c r="C9" s="61" t="inlineStr">
        <is>
          <t>Valence tracking across entire book; deviation triggers warnings/blocks</t>
        </is>
      </c>
      <c r="D9" s="44" t="inlineStr">
        <is>
          <t>REPO-BACKED: phoenix_v4/quality/ei_v2/</t>
        </is>
      </c>
    </row>
    <row r="10" ht="15" customHeight="1" s="40">
      <c r="B10" s="76" t="inlineStr">
        <is>
          <t>Semantic Dedup</t>
        </is>
      </c>
      <c r="C10" s="61" t="inlineStr">
        <is>
          <t>N-gram overlap + embedding similarity; uniqueness threshold 0.30 Jaccard</t>
        </is>
      </c>
      <c r="D10" s="44" t="inlineStr">
        <is>
          <t>REPO-BACKED: phoenix_v4/quality/ei_v2/</t>
        </is>
      </c>
    </row>
    <row r="11" ht="15" customHeight="1" s="40">
      <c r="B11" s="76" t="inlineStr">
        <is>
          <t>Adaptive Learner</t>
        </is>
      </c>
      <c r="C11" s="61" t="inlineStr">
        <is>
          <t>Exponential moving average tunes weights from feedback over time</t>
        </is>
      </c>
      <c r="D11" s="44" t="inlineStr">
        <is>
          <t>REPO-BACKED: phoenix_v4/quality/ei_v2/</t>
        </is>
      </c>
    </row>
    <row r="12" ht="15" customHeight="1" s="40">
      <c r="B12" s="76" t="inlineStr">
        <is>
          <t>TTS Readability</t>
        </is>
      </c>
      <c r="C12" s="61" t="inlineStr">
        <is>
          <t>Prose optimized for text-to-speech delivery</t>
        </is>
      </c>
      <c r="D12" s="44" t="inlineStr">
        <is>
          <t>REPO-BACKED: phoenix_v4/quality/ei_v2/</t>
        </is>
      </c>
    </row>
    <row r="14" ht="15" customHeight="1" s="40">
      <c r="B14" s="55" t="inlineStr">
        <is>
          <t>PIPELINE (6-STAGE ARC-FIRST)</t>
        </is>
      </c>
    </row>
    <row r="15" ht="15" customHeight="1" s="40">
      <c r="B15" s="76" t="inlineStr">
        <is>
          <t>Stage 1</t>
        </is>
      </c>
      <c r="C15" s="61" t="inlineStr">
        <is>
          <t>BookSpec — topic, persona, teacher, format, constraints</t>
        </is>
      </c>
      <c r="D15" s="44" t="inlineStr">
        <is>
          <t>REPO-BACKED: pipeline code</t>
        </is>
      </c>
    </row>
    <row r="16" ht="15" customHeight="1" s="40">
      <c r="B16" s="76" t="inlineStr">
        <is>
          <t>Stage 2</t>
        </is>
      </c>
      <c r="C16" s="61" t="inlineStr">
        <is>
          <t>FormatPlan — 18 structural formats, slot templates, beat maps</t>
        </is>
      </c>
      <c r="D16" s="44" t="inlineStr">
        <is>
          <t>REPO-BACKED: pipeline code</t>
        </is>
      </c>
    </row>
    <row r="17" ht="15" customHeight="1" s="40">
      <c r="B17" s="76" t="inlineStr">
        <is>
          <t>Stage 3</t>
        </is>
      </c>
      <c r="C17" s="61" t="inlineStr">
        <is>
          <t>CompiledBook — atom selection, EI scoring, assembly</t>
        </is>
      </c>
      <c r="D17" s="44" t="inlineStr">
        <is>
          <t>REPO-BACKED: pipeline code</t>
        </is>
      </c>
    </row>
    <row r="18" ht="15" customHeight="1" s="40">
      <c r="B18" s="76" t="inlineStr">
        <is>
          <t>Stage 4</t>
        </is>
      </c>
      <c r="C18" s="61" t="inlineStr">
        <is>
          <t>Prose Render — 60-90 word atoms become flowing narrative</t>
        </is>
      </c>
      <c r="D18" s="44" t="inlineStr">
        <is>
          <t>REPO-BACKED: pipeline code</t>
        </is>
      </c>
    </row>
    <row r="19" ht="15" customHeight="1" s="40">
      <c r="B19" s="76" t="inlineStr">
        <is>
          <t>Stage 5</t>
        </is>
      </c>
      <c r="C19" s="61" t="inlineStr">
        <is>
          <t>Quality Gate — dimension gates, safety, dedup, arc check</t>
        </is>
      </c>
      <c r="D19" s="44" t="inlineStr">
        <is>
          <t>REPO-BACKED: pipeline code</t>
        </is>
      </c>
    </row>
    <row r="20" ht="15" customHeight="1" s="40">
      <c r="B20" s="76" t="inlineStr">
        <is>
          <t>Stage 6</t>
        </is>
      </c>
      <c r="C20" s="61" t="inlineStr">
        <is>
          <t>TTS + Distribution — voice render, metadata, store listing</t>
        </is>
      </c>
      <c r="D20" s="44" t="inlineStr">
        <is>
          <t>REPO-BACKED: pipeline code</t>
        </is>
      </c>
    </row>
    <row r="22" ht="15" customHeight="1" s="40">
      <c r="B22" s="55" t="inlineStr">
        <is>
          <t>CONTENT ARCHITECTURE</t>
        </is>
      </c>
    </row>
    <row r="23" ht="15" customHeight="1" s="40">
      <c r="B23" s="76" t="inlineStr">
        <is>
          <t>Atom Types (7)</t>
        </is>
      </c>
      <c r="C23" s="61" t="inlineStr">
        <is>
          <t>HOOK, SCENE, STORY, REFLECTION, EXERCISE, COMPRESSION, INTEGRATION</t>
        </is>
      </c>
      <c r="D23" s="44" t="inlineStr">
        <is>
          <t>REPO-BACKED: specs/ and config/</t>
        </is>
      </c>
    </row>
    <row r="24" ht="15" customHeight="1" s="40">
      <c r="B24" s="76" t="inlineStr">
        <is>
          <t>Atom Size</t>
        </is>
      </c>
      <c r="C24" s="61" t="inlineStr">
        <is>
          <t>60-90 words each — pre-approved human-authored building blocks</t>
        </is>
      </c>
      <c r="D24" s="44" t="inlineStr">
        <is>
          <t>REPO-BACKED: specs/ and config/</t>
        </is>
      </c>
    </row>
    <row r="25" ht="15" customHeight="1" s="40">
      <c r="B25" s="76" t="inlineStr">
        <is>
          <t>Doctrine Lock</t>
        </is>
      </c>
      <c r="C25" s="61" t="inlineStr">
        <is>
          <t>Every teacher's content is locked to their actual lineage and language</t>
        </is>
      </c>
      <c r="D25" s="44" t="inlineStr">
        <is>
          <t>REPO-BACKED: specs/ and config/</t>
        </is>
      </c>
    </row>
    <row r="26" ht="15" customHeight="1" s="40">
      <c r="B26" s="76" t="inlineStr">
        <is>
          <t>Core Principle</t>
        </is>
      </c>
      <c r="C26" s="61" t="inlineStr">
        <is>
          <t>Humans create meaning. Machines enforce structure. Runtime only assembles.</t>
        </is>
      </c>
      <c r="D26" s="44" t="inlineStr">
        <is>
          <t>REPO-BACKED: specs/ and config/</t>
        </is>
      </c>
    </row>
    <row r="28" ht="15" customHeight="1" s="40">
      <c r="B28" s="55" t="inlineStr">
        <is>
          <t>PROPRIETARY ASSETS</t>
        </is>
      </c>
    </row>
    <row r="29" ht="15" customHeight="1" s="40">
      <c r="B29" s="76" t="inlineStr">
        <is>
          <t>Teacher Doctrine Profiles</t>
        </is>
      </c>
      <c r="C29" s="61" t="inlineStr">
        <is>
          <t>13 unique doctrine profiles with allowed engines, resolution types, format preferences</t>
        </is>
      </c>
      <c r="D29" s="44" t="inlineStr">
        <is>
          <t>REPO-BACKED: config/ and specs/</t>
        </is>
      </c>
    </row>
    <row r="30" ht="15" customHeight="1" s="40">
      <c r="B30" s="76" t="inlineStr">
        <is>
          <t>Brand Archetype Registry</t>
        </is>
      </c>
      <c r="C30" s="61" t="inlineStr">
        <is>
          <t>24 brands with complete GTM identity, pricing, voice, art, discovery contract</t>
        </is>
      </c>
      <c r="D30" s="44" t="inlineStr">
        <is>
          <t>REPO-BACKED: config/ and specs/</t>
        </is>
      </c>
    </row>
    <row r="31" ht="15" customHeight="1" s="40">
      <c r="B31" s="76" t="inlineStr">
        <is>
          <t>Format Registry</t>
        </is>
      </c>
      <c r="C31" s="61" t="inlineStr">
        <is>
          <t>18 structural formats + 7 runtime formats — proprietary therapeutic structures</t>
        </is>
      </c>
      <c r="D31" s="44" t="inlineStr">
        <is>
          <t>REPO-BACKED: config/ and specs/</t>
        </is>
      </c>
    </row>
    <row r="32" ht="15" customHeight="1" s="40">
      <c r="B32" s="76" t="inlineStr">
        <is>
          <t>EI Scoring Models</t>
        </is>
      </c>
      <c r="C32" s="61" t="inlineStr">
        <is>
          <t>Safety classifier, cross-encoder, domain embeddings, emotion arc — trained on teacher wisdom</t>
        </is>
      </c>
      <c r="D32" s="44" t="inlineStr">
        <is>
          <t>REPO-BACKED: config/ and specs/</t>
        </is>
      </c>
    </row>
    <row r="33" ht="15" customHeight="1" s="40">
      <c r="B33" s="76" t="inlineStr">
        <is>
          <t>V3.2 Marketing Systems</t>
        </is>
      </c>
      <c r="C33" s="61" t="inlineStr">
        <is>
          <t>EOIS, Controlled Contrast, Audiobook Dominance, Binge Loop, Social Wiring, Chaos Slot, Transformation Promise</t>
        </is>
      </c>
      <c r="D33" s="44" t="inlineStr">
        <is>
          <t>REPO-BACKED: config/ and specs/</t>
        </is>
      </c>
    </row>
  </sheetData>
  <mergeCells count="5">
    <mergeCell ref="B2:C2"/>
    <mergeCell ref="B28:C28"/>
    <mergeCell ref="B22:C22"/>
    <mergeCell ref="B14:C14"/>
    <mergeCell ref="B4:C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2:E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52" min="1" max="1"/>
    <col width="35" customWidth="1" style="52" min="2" max="2"/>
    <col width="18" customWidth="1" style="52" min="3" max="3"/>
    <col width="42" customWidth="1" style="52" min="4" max="4"/>
    <col width="38" customWidth="1" style="40" min="5" max="5"/>
  </cols>
  <sheetData>
    <row r="2" ht="17.35" customHeight="1" s="40">
      <c r="B2" s="71" t="inlineStr">
        <is>
          <t>MARKET SIZING — THERAPEUTIC AUDIOBOOKS</t>
        </is>
      </c>
    </row>
    <row r="4" ht="15" customHeight="1" s="40">
      <c r="B4" s="55" t="inlineStr">
        <is>
          <t>TOTAL ADDRESSABLE MARKET (TAM)</t>
        </is>
      </c>
      <c r="E4" s="43" t="inlineStr">
        <is>
          <t>DATA SOURCE</t>
        </is>
      </c>
    </row>
    <row r="5" ht="15" customHeight="1" s="40">
      <c r="B5" s="61" t="inlineStr">
        <is>
          <t>Global Audiobook Market (2025)</t>
        </is>
      </c>
      <c r="C5" s="64" t="inlineStr">
        <is>
          <t>$7.7B</t>
        </is>
      </c>
      <c r="D5" s="79" t="inlineStr">
        <is>
          <t>Source: Grand View Research, 2025</t>
        </is>
      </c>
      <c r="E5" s="47" t="inlineStr">
        <is>
          <t>EXTERNAL: Grand View Research 2025</t>
        </is>
      </c>
    </row>
    <row r="6" ht="15" customHeight="1" s="40">
      <c r="B6" s="61" t="inlineStr">
        <is>
          <t>Self-Help / Personal Development Share</t>
        </is>
      </c>
      <c r="C6" s="64" t="inlineStr">
        <is>
          <t>~18%</t>
        </is>
      </c>
      <c r="D6" s="79" t="inlineStr">
        <is>
          <t>Source: BookStat, Wordsrated</t>
        </is>
      </c>
      <c r="E6" s="47" t="inlineStr">
        <is>
          <t>EXTERNAL: BookStat / Wordsrated</t>
        </is>
      </c>
    </row>
    <row r="7" ht="15" customHeight="1" s="40">
      <c r="B7" s="61" t="inlineStr">
        <is>
          <t>Self-Help Audiobook TAM</t>
        </is>
      </c>
      <c r="C7" s="64" t="inlineStr">
        <is>
          <t>$1.4B</t>
        </is>
      </c>
      <c r="D7" s="79" t="inlineStr">
        <is>
          <t>Formula: $7.7B × 18%</t>
        </is>
      </c>
      <c r="E7" s="58" t="inlineStr">
        <is>
          <t>ESTIMATE: TAM × 18%</t>
        </is>
      </c>
    </row>
    <row r="8" ht="15" customHeight="1" s="40">
      <c r="B8" s="61" t="inlineStr">
        <is>
          <t>Mental Health / Therapeutic Segment</t>
        </is>
      </c>
      <c r="C8" s="64" t="inlineStr">
        <is>
          <t>~25% of self-help</t>
        </is>
      </c>
      <c r="D8" s="79" t="inlineStr">
        <is>
          <t>Growing fastest — anxiety, burnout, neurodivergent</t>
        </is>
      </c>
      <c r="E8" s="47" t="inlineStr">
        <is>
          <t>EXTERNAL: industry reports</t>
        </is>
      </c>
    </row>
    <row r="9" ht="15" customHeight="1" s="40">
      <c r="B9" s="61" t="inlineStr">
        <is>
          <t>Therapeutic Audiobook TAM</t>
        </is>
      </c>
      <c r="C9" s="64" t="inlineStr">
        <is>
          <t>$350M</t>
        </is>
      </c>
      <c r="D9" s="79" t="inlineStr">
        <is>
          <t>Formula: $1.4B × 25%</t>
        </is>
      </c>
      <c r="E9" s="58" t="inlineStr">
        <is>
          <t>ESTIMATE: self-help TAM × 25%</t>
        </is>
      </c>
    </row>
    <row r="11" ht="15" customHeight="1" s="40">
      <c r="B11" s="55" t="inlineStr">
        <is>
          <t>SERVICEABLE ADDRESSABLE MARKET (SAM)</t>
        </is>
      </c>
    </row>
    <row r="12" ht="15" customHeight="1" s="40">
      <c r="B12" s="61" t="inlineStr">
        <is>
          <t>English-speaking therapeutic audiobook market</t>
        </is>
      </c>
      <c r="C12" s="64" t="inlineStr">
        <is>
          <t>$210M</t>
        </is>
      </c>
      <c r="D12" s="79" t="inlineStr">
        <is>
          <t>US/UK/AU/CA — 60% of global</t>
        </is>
      </c>
      <c r="E12" s="58" t="inlineStr">
        <is>
          <t>ESTIMATE: 60% of global</t>
        </is>
      </c>
    </row>
    <row r="13" ht="15" customHeight="1" s="40">
      <c r="B13" s="61" t="inlineStr">
        <is>
          <t>+ Japanese market (manga adaptation)</t>
        </is>
      </c>
      <c r="C13" s="64" t="inlineStr">
        <is>
          <t>$35M</t>
        </is>
      </c>
      <c r="D13" s="79" t="inlineStr">
        <is>
          <t>JP audiobook market growing 30% YoY</t>
        </is>
      </c>
      <c r="E13" s="47" t="inlineStr">
        <is>
          <t>EXTERNAL: JP market reports</t>
        </is>
      </c>
    </row>
    <row r="14" ht="15" customHeight="1" s="40">
      <c r="B14" s="61" t="inlineStr">
        <is>
          <t>SAM Total</t>
        </is>
      </c>
      <c r="C14" s="64" t="inlineStr">
        <is>
          <t>$245M</t>
        </is>
      </c>
      <c r="D14" s="79" t="inlineStr">
        <is>
          <t>EN + JP combined</t>
        </is>
      </c>
      <c r="E14" s="58" t="inlineStr">
        <is>
          <t>ESTIMATE: EN + JP combined</t>
        </is>
      </c>
    </row>
    <row r="16" ht="15" customHeight="1" s="40">
      <c r="B16" s="55" t="inlineStr">
        <is>
          <t>SERVICEABLE OBTAINABLE MARKET (SOM)</t>
        </is>
      </c>
    </row>
    <row r="17" ht="15" customHeight="1" s="40">
      <c r="B17" s="61" t="inlineStr">
        <is>
          <t>Y1 Target (organic only)</t>
        </is>
      </c>
      <c r="C17" s="64" t="inlineStr">
        <is>
          <t>$68K</t>
        </is>
      </c>
      <c r="D17" s="79" t="inlineStr">
        <is>
          <t>0.03% of SAM — conservative organic-only entry</t>
        </is>
      </c>
      <c r="E17" s="67" t="inlineStr">
        <is>
          <t>ASSUMPTION: organic-only Y1 target</t>
        </is>
      </c>
    </row>
    <row r="18" ht="15" customHeight="1" s="40">
      <c r="B18" s="61" t="inlineStr">
        <is>
          <t>Y2 Target (scale winners)</t>
        </is>
      </c>
      <c r="C18" s="64" t="inlineStr">
        <is>
          <t>$240K</t>
        </is>
      </c>
      <c r="D18" s="79" t="inlineStr">
        <is>
          <t>0.10% of SAM — kill/double-down portfolio optimization</t>
        </is>
      </c>
      <c r="E18" s="67" t="inlineStr">
        <is>
          <t>ASSUMPTION: Y2 projection</t>
        </is>
      </c>
    </row>
    <row r="19" ht="15" customHeight="1" s="40">
      <c r="B19" s="61" t="inlineStr">
        <is>
          <t>Y3 Target (12 languages)</t>
        </is>
      </c>
      <c r="C19" s="64" t="inlineStr">
        <is>
          <t>$800K</t>
        </is>
      </c>
      <c r="D19" s="79" t="inlineStr">
        <is>
          <t>0.33% of SAM — full language rollout + library/streaming</t>
        </is>
      </c>
      <c r="E19" s="67" t="inlineStr">
        <is>
          <t>ASSUMPTION: Y3 projection</t>
        </is>
      </c>
    </row>
    <row r="21" ht="15" customHeight="1" s="40">
      <c r="B21" s="55" t="inlineStr">
        <is>
          <t>COMPETITIVE MOAT</t>
        </is>
      </c>
    </row>
    <row r="22" ht="15" customHeight="1" s="40">
      <c r="B22" s="76" t="inlineStr">
        <is>
          <t>Doctrine-locked teacher content</t>
        </is>
      </c>
      <c r="C22" s="61" t="inlineStr">
        <is>
          <t>No competitor has access to 13 USLF teacher lineages</t>
        </is>
      </c>
      <c r="D22" s="88" t="n"/>
      <c r="E22" s="44" t="inlineStr">
        <is>
          <t>REPO-BACKED: system architecture</t>
        </is>
      </c>
    </row>
    <row r="23" ht="15" customHeight="1" s="40">
      <c r="B23" s="76" t="inlineStr">
        <is>
          <t>Deterministic assembly (not generative)</t>
        </is>
      </c>
      <c r="C23" s="61" t="inlineStr">
        <is>
          <t>Zero hallucination — every word traces to a human-authored atom</t>
        </is>
      </c>
      <c r="D23" s="88" t="n"/>
      <c r="E23" s="44" t="inlineStr">
        <is>
          <t>REPO-BACKED: system architecture</t>
        </is>
      </c>
    </row>
    <row r="24" ht="15" customHeight="1" s="40">
      <c r="B24" s="76" t="inlineStr">
        <is>
          <t>EI scoring system</t>
        </is>
      </c>
      <c r="C24" s="61" t="inlineStr">
        <is>
          <t>Proprietary spiritual + mental + somatic heuristics — not replicable with generic AI</t>
        </is>
      </c>
      <c r="D24" s="88" t="n"/>
      <c r="E24" s="44" t="inlineStr">
        <is>
          <t>REPO-BACKED: system architecture</t>
        </is>
      </c>
    </row>
    <row r="25" ht="15" customHeight="1" s="40">
      <c r="B25" s="76" t="inlineStr">
        <is>
          <t>24-brand GTM architecture</t>
        </is>
      </c>
      <c r="C25" s="61" t="inlineStr">
        <is>
          <t>Each brand targets a specific persona, moment, and emotional job — precision at scale</t>
        </is>
      </c>
      <c r="D25" s="88" t="n"/>
      <c r="E25" s="44" t="inlineStr">
        <is>
          <t>REPO-BACKED: system architecture</t>
        </is>
      </c>
    </row>
    <row r="26" ht="15" customHeight="1" s="40">
      <c r="B26" s="76" t="inlineStr">
        <is>
          <t>$0 marginal cost per book</t>
        </is>
      </c>
      <c r="C26" s="61" t="inlineStr">
        <is>
          <t>Auto-narration + deterministic assembly = infinite catalog at zero incremental cost</t>
        </is>
      </c>
      <c r="D26" s="88" t="n"/>
      <c r="E26" s="44" t="inlineStr">
        <is>
          <t>REPO-BACKED: system architecture</t>
        </is>
      </c>
    </row>
    <row r="27" ht="15" customHeight="1" s="40">
      <c r="B27" s="76" t="inlineStr">
        <is>
          <t>V3.2 marketing intelligence</t>
        </is>
      </c>
      <c r="C27" s="61" t="inlineStr">
        <is>
          <t>7 automated marketing systems built into every book — competitors write copy manually</t>
        </is>
      </c>
      <c r="D27" s="88" t="n"/>
      <c r="E27" s="44" t="inlineStr">
        <is>
          <t>REPO-BACKED: system architecture</t>
        </is>
      </c>
    </row>
  </sheetData>
  <mergeCells count="11">
    <mergeCell ref="B21:C21"/>
    <mergeCell ref="B16:C16"/>
    <mergeCell ref="C24:D24"/>
    <mergeCell ref="B11:C11"/>
    <mergeCell ref="C25:D25"/>
    <mergeCell ref="C27:D27"/>
    <mergeCell ref="C22:D22"/>
    <mergeCell ref="C23:D23"/>
    <mergeCell ref="C26:D26"/>
    <mergeCell ref="B4:C4"/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2:F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52" min="1" max="1"/>
    <col width="30" customWidth="1" style="52" min="2" max="2"/>
    <col width="16" customWidth="1" style="52" min="3" max="5"/>
    <col width="42" customWidth="1" style="40" min="6" max="6"/>
  </cols>
  <sheetData>
    <row r="2" ht="17.35" customHeight="1" s="40">
      <c r="B2" s="71" t="inlineStr">
        <is>
          <t>3-YEAR PROJECTED P&amp;L (MOST LIKELY SCENARIO)</t>
        </is>
      </c>
    </row>
    <row r="4" ht="15" customHeight="1" s="40">
      <c r="B4" s="63" t="n"/>
      <c r="C4" s="63" t="inlineStr">
        <is>
          <t>Year 1</t>
        </is>
      </c>
      <c r="D4" s="63" t="inlineStr">
        <is>
          <t>Year 2</t>
        </is>
      </c>
      <c r="E4" s="63" t="inlineStr">
        <is>
          <t>Year 3</t>
        </is>
      </c>
      <c r="F4" s="43" t="inlineStr">
        <is>
          <t>DATA SOURCE</t>
        </is>
      </c>
    </row>
    <row r="5" ht="15" customHeight="1" s="40">
      <c r="B5" s="55" t="inlineStr">
        <is>
          <t>REVENUE</t>
        </is>
      </c>
      <c r="C5" s="89" t="n"/>
      <c r="D5" s="89" t="n"/>
      <c r="E5" s="89" t="n"/>
    </row>
    <row r="6" ht="15" customHeight="1" s="40">
      <c r="B6" s="61" t="inlineStr">
        <is>
          <t>Google Play Revenue</t>
        </is>
      </c>
      <c r="C6" s="65" t="n">
        <v>48000</v>
      </c>
      <c r="D6" s="65" t="n">
        <v>144000</v>
      </c>
      <c r="E6" s="65" t="n">
        <v>384000</v>
      </c>
      <c r="F6" s="67" t="inlineStr">
        <is>
          <t>ASSUMPTION: pre-revenue projection</t>
        </is>
      </c>
    </row>
    <row r="7" ht="15" customHeight="1" s="40">
      <c r="B7" s="61" t="inlineStr">
        <is>
          <t>INaudio Revenue</t>
        </is>
      </c>
      <c r="C7" s="65" t="n">
        <v>20000</v>
      </c>
      <c r="D7" s="65" t="n">
        <v>96000</v>
      </c>
      <c r="E7" s="65" t="n">
        <v>288000</v>
      </c>
      <c r="F7" s="67" t="inlineStr">
        <is>
          <t>ASSUMPTION: pre-revenue projection</t>
        </is>
      </c>
    </row>
    <row r="8" ht="15" customHeight="1" s="40">
      <c r="B8" s="61" t="inlineStr">
        <is>
          <t>Library / Streaming</t>
        </is>
      </c>
      <c r="C8" s="65" t="n">
        <v>0</v>
      </c>
      <c r="D8" s="65" t="n">
        <v>12000</v>
      </c>
      <c r="E8" s="65" t="n">
        <v>48000</v>
      </c>
      <c r="F8" s="67" t="inlineStr">
        <is>
          <t>ASSUMPTION: pre-revenue projection</t>
        </is>
      </c>
    </row>
    <row r="9" ht="15" customHeight="1" s="40">
      <c r="B9" s="76" t="inlineStr">
        <is>
          <t>Total Revenue</t>
        </is>
      </c>
      <c r="C9" s="77">
        <f>SUM(C6:C8)</f>
        <v/>
      </c>
      <c r="D9" s="77">
        <f>SUM(D6:D8)</f>
        <v/>
      </c>
      <c r="E9" s="77">
        <f>SUM(E6:E8)</f>
        <v/>
      </c>
      <c r="F9" s="67" t="inlineStr">
        <is>
          <t>ASSUMPTION: pre-revenue projection</t>
        </is>
      </c>
    </row>
    <row r="11" ht="15" customHeight="1" s="40">
      <c r="B11" s="55" t="inlineStr">
        <is>
          <t>COST OF GOODS SOLD</t>
        </is>
      </c>
      <c r="C11" s="89" t="n"/>
      <c r="D11" s="89" t="n"/>
      <c r="E11" s="89" t="n"/>
    </row>
    <row r="12" ht="15" customHeight="1" s="40">
      <c r="B12" s="61" t="inlineStr">
        <is>
          <t>Platform Fees (embedded in rev share)</t>
        </is>
      </c>
      <c r="C12" s="65" t="n">
        <v>0</v>
      </c>
      <c r="D12" s="65" t="n">
        <v>0</v>
      </c>
      <c r="E12" s="65" t="n">
        <v>0</v>
      </c>
      <c r="F12" s="44" t="inlineStr">
        <is>
          <t>REPO-BACKED: $0 COGS (auto pipeline)</t>
        </is>
      </c>
    </row>
    <row r="13" ht="15" customHeight="1" s="40">
      <c r="B13" s="61" t="inlineStr">
        <is>
          <t>TTS / Auto-narration</t>
        </is>
      </c>
      <c r="C13" s="65" t="n">
        <v>0</v>
      </c>
      <c r="D13" s="65" t="n">
        <v>0</v>
      </c>
      <c r="E13" s="65" t="n">
        <v>0</v>
      </c>
      <c r="F13" s="44" t="inlineStr">
        <is>
          <t>REPO-BACKED: $0 COGS (auto pipeline)</t>
        </is>
      </c>
    </row>
    <row r="14" ht="15" customHeight="1" s="40">
      <c r="B14" s="61" t="inlineStr">
        <is>
          <t>Content Assembly</t>
        </is>
      </c>
      <c r="C14" s="65" t="n">
        <v>0</v>
      </c>
      <c r="D14" s="65" t="n">
        <v>0</v>
      </c>
      <c r="E14" s="65" t="n">
        <v>0</v>
      </c>
      <c r="F14" s="44" t="inlineStr">
        <is>
          <t>REPO-BACKED: $0 COGS (auto pipeline)</t>
        </is>
      </c>
    </row>
    <row r="15" ht="15" customHeight="1" s="40">
      <c r="B15" s="76" t="inlineStr">
        <is>
          <t>Total COGS</t>
        </is>
      </c>
      <c r="C15" s="90">
        <f>SUM(C12:C14)</f>
        <v/>
      </c>
      <c r="D15" s="90">
        <f>SUM(D12:D14)</f>
        <v/>
      </c>
      <c r="E15" s="90">
        <f>SUM(E12:E14)</f>
        <v/>
      </c>
      <c r="F15" s="44" t="inlineStr">
        <is>
          <t>REPO-BACKED: $0 COGS (auto pipeline)</t>
        </is>
      </c>
    </row>
    <row r="16" ht="15" customHeight="1" s="40">
      <c r="B16" s="91" t="inlineStr">
        <is>
          <t>GROSS PROFIT</t>
        </is>
      </c>
      <c r="C16" s="92">
        <f>C9-C15</f>
        <v/>
      </c>
      <c r="D16" s="92">
        <f>D9-D15</f>
        <v/>
      </c>
      <c r="E16" s="92">
        <f>E9-E15</f>
        <v/>
      </c>
      <c r="F16" s="67" t="inlineStr">
        <is>
          <t>ASSUMPTION: derived</t>
        </is>
      </c>
    </row>
    <row r="17" ht="15" customHeight="1" s="40">
      <c r="B17" s="76" t="inlineStr">
        <is>
          <t>Gross Margin</t>
        </is>
      </c>
      <c r="C17" s="83">
        <f>IF(C9=0,0,C16/C9)</f>
        <v/>
      </c>
      <c r="D17" s="83">
        <f>IF(D9=0,0,D16/D9)</f>
        <v/>
      </c>
      <c r="E17" s="83">
        <f>IF(E9=0,0,E16/E9)</f>
        <v/>
      </c>
      <c r="F17" s="67" t="inlineStr">
        <is>
          <t>ASSUMPTION: derived</t>
        </is>
      </c>
    </row>
    <row r="19" ht="15" customHeight="1" s="40">
      <c r="B19" s="55" t="inlineStr">
        <is>
          <t>OPERATING EXPENSES</t>
        </is>
      </c>
      <c r="C19" s="89" t="n"/>
      <c r="D19" s="89" t="n"/>
      <c r="E19" s="89" t="n"/>
    </row>
    <row r="20" ht="15" customHeight="1" s="40">
      <c r="B20" s="61" t="inlineStr">
        <is>
          <t>Infrastructure / Compute</t>
        </is>
      </c>
      <c r="C20" s="65" t="n">
        <v>1200</v>
      </c>
      <c r="D20" s="65" t="n">
        <v>3600</v>
      </c>
      <c r="E20" s="65" t="n">
        <v>7200</v>
      </c>
      <c r="F20" s="58" t="inlineStr">
        <is>
          <t>ESTIMATE: OpEx projection</t>
        </is>
      </c>
    </row>
    <row r="21" ht="15" customHeight="1" s="40">
      <c r="B21" s="61" t="inlineStr">
        <is>
          <t>Domain / Hosting</t>
        </is>
      </c>
      <c r="C21" s="65" t="n">
        <v>300</v>
      </c>
      <c r="D21" s="65" t="n">
        <v>600</v>
      </c>
      <c r="E21" s="65" t="n">
        <v>1200</v>
      </c>
      <c r="F21" s="58" t="inlineStr">
        <is>
          <t>ESTIMATE: OpEx projection</t>
        </is>
      </c>
    </row>
    <row r="22" ht="15" customHeight="1" s="40">
      <c r="B22" s="61" t="inlineStr">
        <is>
          <t>Software Subscriptions</t>
        </is>
      </c>
      <c r="C22" s="65" t="n">
        <v>600</v>
      </c>
      <c r="D22" s="65" t="n">
        <v>1800</v>
      </c>
      <c r="E22" s="65" t="n">
        <v>3600</v>
      </c>
      <c r="F22" s="58" t="inlineStr">
        <is>
          <t>ESTIMATE: OpEx projection</t>
        </is>
      </c>
    </row>
    <row r="23" ht="15" customHeight="1" s="40">
      <c r="B23" s="61" t="inlineStr">
        <is>
          <t>Marketing (Paid)</t>
        </is>
      </c>
      <c r="C23" s="65" t="n">
        <v>0</v>
      </c>
      <c r="D23" s="65" t="n">
        <v>0</v>
      </c>
      <c r="E23" s="65" t="n">
        <v>12000</v>
      </c>
      <c r="F23" s="58" t="inlineStr">
        <is>
          <t>ESTIMATE: OpEx projection</t>
        </is>
      </c>
    </row>
    <row r="24" ht="15" customHeight="1" s="40">
      <c r="B24" s="61" t="inlineStr">
        <is>
          <t>Legal / IP</t>
        </is>
      </c>
      <c r="C24" s="65" t="n">
        <v>2000</v>
      </c>
      <c r="D24" s="65" t="n">
        <v>3000</v>
      </c>
      <c r="E24" s="65" t="n">
        <v>5000</v>
      </c>
      <c r="F24" s="58" t="inlineStr">
        <is>
          <t>ESTIMATE: OpEx projection</t>
        </is>
      </c>
    </row>
    <row r="25" ht="15" customHeight="1" s="40">
      <c r="B25" s="61" t="inlineStr">
        <is>
          <t>Miscellaneous</t>
        </is>
      </c>
      <c r="C25" s="65" t="n">
        <v>500</v>
      </c>
      <c r="D25" s="65" t="n">
        <v>1000</v>
      </c>
      <c r="E25" s="65" t="n">
        <v>2000</v>
      </c>
      <c r="F25" s="58" t="inlineStr">
        <is>
          <t>ESTIMATE: OpEx projection</t>
        </is>
      </c>
    </row>
    <row r="26" ht="15" customHeight="1" s="40">
      <c r="B26" s="76" t="inlineStr">
        <is>
          <t>Total OpEx</t>
        </is>
      </c>
      <c r="C26" s="90">
        <f>SUM(C20:C25)</f>
        <v/>
      </c>
      <c r="D26" s="90">
        <f>SUM(D20:D25)</f>
        <v/>
      </c>
      <c r="E26" s="90">
        <f>SUM(E20:E25)</f>
        <v/>
      </c>
      <c r="F26" s="58" t="inlineStr">
        <is>
          <t>ESTIMATE: OpEx projection</t>
        </is>
      </c>
    </row>
    <row r="28" ht="15" customHeight="1" s="40">
      <c r="B28" s="93" t="inlineStr">
        <is>
          <t>NET INCOME (EBITDA)</t>
        </is>
      </c>
      <c r="C28" s="94">
        <f>C16-C26</f>
        <v/>
      </c>
      <c r="D28" s="94">
        <f>D16-D26</f>
        <v/>
      </c>
      <c r="E28" s="94">
        <f>E16-E26</f>
        <v/>
      </c>
      <c r="F28" s="67" t="inlineStr">
        <is>
          <t>ASSUMPTION: derived</t>
        </is>
      </c>
    </row>
    <row r="29" ht="15" customHeight="1" s="40">
      <c r="B29" s="76" t="inlineStr">
        <is>
          <t>Net Margin</t>
        </is>
      </c>
      <c r="C29" s="83">
        <f>IF(C9=0,0,C28/C9)</f>
        <v/>
      </c>
      <c r="D29" s="83">
        <f>IF(D9=0,0,D28/D9)</f>
        <v/>
      </c>
      <c r="E29" s="83">
        <f>IF(E9=0,0,E28/E9)</f>
        <v/>
      </c>
      <c r="F29" s="67" t="inlineStr">
        <is>
          <t>ASSUMPTION: derived</t>
        </is>
      </c>
    </row>
    <row r="31">
      <c r="B31" s="97" t="inlineStr">
        <is>
          <t>INVESTOR NOTE: The following common cost categories are not modeled above:</t>
        </is>
      </c>
    </row>
    <row r="32">
      <c r="B32" s="97" t="inlineStr">
        <is>
          <t xml:space="preserve">  • Founder / operator salary or draw</t>
        </is>
      </c>
    </row>
    <row r="33">
      <c r="B33" s="97" t="inlineStr">
        <is>
          <t xml:space="preserve">  • Customer support / community management</t>
        </is>
      </c>
    </row>
    <row r="34">
      <c r="B34" s="97" t="inlineStr">
        <is>
          <t xml:space="preserve">  • Content review / editorial QA labor</t>
        </is>
      </c>
    </row>
    <row r="35">
      <c r="B35" s="97" t="inlineStr">
        <is>
          <t xml:space="preserve">  • Platform compliance / content moderation costs</t>
        </is>
      </c>
    </row>
    <row r="36">
      <c r="B36" s="97" t="inlineStr">
        <is>
          <t xml:space="preserve">  • Insurance, accounting, tax preparation</t>
        </is>
      </c>
    </row>
    <row r="37">
      <c r="B37" s="97" t="inlineStr">
        <is>
          <t>These omissions are intentional for a solo-founder, pre-revenue scenario.</t>
        </is>
      </c>
    </row>
    <row r="38">
      <c r="B38" s="97" t="inlineStr">
        <is>
          <t>If headcount grows or revenue exceeds $100K/yr, revisit this model.</t>
        </is>
      </c>
    </row>
  </sheetData>
  <mergeCells count="1">
    <mergeCell ref="B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2026-03-27T07:41:53Z</dcterms:created>
  <dcterms:modified xmlns:dcterms="http://purl.org/dc/terms/" xmlns:xsi="http://www.w3.org/2001/XMLSchema-instance" xsi:type="dcterms:W3CDTF">2026-03-28T07:48:44Z</dcterms:modified>
  <cp:revision>0</cp:revision>
</cp:coreProperties>
</file>